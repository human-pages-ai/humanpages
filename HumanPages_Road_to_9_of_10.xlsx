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Impact Matrix" sheetId="2" state="visible" r:id="rId4"/>
    <sheet name="Build Order" sheetId="3" state="visible" r:id="rId5"/>
    <sheet name="Score Trajectory" sheetId="4" state="visible" r:id="rId6"/>
    <sheet name="Executor Split" sheetId="5" state="visible" r:id="rId7"/>
    <sheet name="Per-Archetype Need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<sst xmlns="http://schemas.openxmlformats.org/spreadsheetml/2006/main" count="473" uniqueCount="283">
  <si>
    <t xml:space="preserve">HumanPages MCP — Road to 9/10</t>
  </si>
  <si>
    <t xml:space="preserve">10 Client Archetypes × 10 Gaps = Prioritized Roadmap to Universal 9/10</t>
  </si>
  <si>
    <t xml:space="preserve">Archetype</t>
  </si>
  <si>
    <t xml:space="preserve">Today</t>
  </si>
  <si>
    <t xml:space="preserve">After Plan</t>
  </si>
  <si>
    <t xml:space="preserve">Delta</t>
  </si>
  <si>
    <t xml:space="preserve">Key Unlock</t>
  </si>
  <si>
    <t xml:space="preserve">Tier</t>
  </si>
  <si>
    <t xml:space="preserve">Russian crypto user</t>
  </si>
  <si>
    <t xml:space="preserve">+2.7</t>
  </si>
  <si>
    <t xml:space="preserve">USDC is survival, not preference</t>
  </si>
  <si>
    <t xml:space="preserve">Tier 1</t>
  </si>
  <si>
    <t xml:space="preserve">Digital nomad agency</t>
  </si>
  <si>
    <t xml:space="preserve">+4.0</t>
  </si>
  <si>
    <t xml:space="preserve">Sub-agents + invoicing + projects</t>
  </si>
  <si>
    <t xml:space="preserve">Crypto KOL / creator</t>
  </si>
  <si>
    <t xml:space="preserve">+4.6</t>
  </si>
  <si>
    <t xml:space="preserve">Recurring templates + file sharing</t>
  </si>
  <si>
    <t xml:space="preserve">Tier 2</t>
  </si>
  <si>
    <t xml:space="preserve">Crypto trader</t>
  </si>
  <si>
    <t xml:space="preserve">+4.7</t>
  </si>
  <si>
    <t xml:space="preserve">24/7 shifts + recurring + security</t>
  </si>
  <si>
    <t xml:space="preserve">Vibe-coder (Claude)</t>
  </si>
  <si>
    <t xml:space="preserve">+5.3</t>
  </si>
  <si>
    <t xml:space="preserve">Session persistence + escrow + speed</t>
  </si>
  <si>
    <t xml:space="preserve">Web3 developer</t>
  </si>
  <si>
    <t xml:space="preserve">+5.1</t>
  </si>
  <si>
    <t xml:space="preserve">Credential verification + milestones</t>
  </si>
  <si>
    <t xml:space="preserve">AI SaaS builder</t>
  </si>
  <si>
    <t xml:space="preserve">+5.0</t>
  </si>
  <si>
    <t xml:space="preserve">SLA + fallback + quality scoring</t>
  </si>
  <si>
    <t xml:space="preserve">Telegram bot dev</t>
  </si>
  <si>
    <t xml:space="preserve">+6.0</t>
  </si>
  <si>
    <t xml:space="preserve">USDT support + bot API + shifts</t>
  </si>
  <si>
    <t xml:space="preserve">Mobile app dev</t>
  </si>
  <si>
    <t xml:space="preserve">+6.9</t>
  </si>
  <si>
    <t xml:space="preserve">Fiat on-ramp + file delivery + bulk</t>
  </si>
  <si>
    <t xml:space="preserve">Tier 3</t>
  </si>
  <si>
    <t xml:space="preserve">Crypto fund analyst</t>
  </si>
  <si>
    <t xml:space="preserve">+6.8</t>
  </si>
  <si>
    <t xml:space="preserve">NDA + multi-sig + team + invoicing</t>
  </si>
  <si>
    <t xml:space="preserve">Avg Today:</t>
  </si>
  <si>
    <t xml:space="preserve">Avg After:</t>
  </si>
  <si>
    <t xml:space="preserve">Gap × Archetype Impact Matrix (0=irrelevant, 1=nice, 2=important, 3=critical)</t>
  </si>
  <si>
    <t xml:space="preserve">Gap / Feature</t>
  </si>
  <si>
    <t xml:space="preserve">Vibe-
coder</t>
  </si>
  <si>
    <t xml:space="preserve">Mobile
Dev</t>
  </si>
  <si>
    <t xml:space="preserve">Crypto
Trader</t>
  </si>
  <si>
    <t xml:space="preserve">Web3
Dev</t>
  </si>
  <si>
    <t xml:space="preserve">Russian
Crypto</t>
  </si>
  <si>
    <t xml:space="preserve">AI SaaS
Builder</t>
  </si>
  <si>
    <t xml:space="preserve">Crypto
KOL</t>
  </si>
  <si>
    <t xml:space="preserve">TG Bot
Dev</t>
  </si>
  <si>
    <t xml:space="preserve">Nomad
Agency</t>
  </si>
  <si>
    <t xml:space="preserve">Crypto
Fund</t>
  </si>
  <si>
    <t xml:space="preserve">Raw Sum</t>
  </si>
  <si>
    <t xml:space="preserve">Weighted</t>
  </si>
  <si>
    <t xml:space="preserve">Priority Rank</t>
  </si>
  <si>
    <t xml:space="preserve">Market Weight</t>
  </si>
  <si>
    <t xml:space="preserve">Escrow + Dispute Resolution</t>
  </si>
  <si>
    <t xml:space="preserve">Recurring Jobs / Templates</t>
  </si>
  <si>
    <t xml:space="preserve">File Sharing / Deliverables</t>
  </si>
  <si>
    <t xml:space="preserve">NDA / Confidentiality</t>
  </si>
  <si>
    <t xml:space="preserve">Team / Sub-agent Mgmt</t>
  </si>
  <si>
    <t xml:space="preserve">Rate Limit Overhaul</t>
  </si>
  <si>
    <t xml:space="preserve">Availability Calendar</t>
  </si>
  <si>
    <t xml:space="preserve">Credential Verification</t>
  </si>
  <si>
    <t xml:space="preserve">Session Persistence</t>
  </si>
  <si>
    <t xml:space="preserve">Invoicing / Tax Docs</t>
  </si>
  <si>
    <t xml:space="preserve">Fiat On-Ramp (card pay)</t>
  </si>
  <si>
    <t xml:space="preserve">USDT / Multi-token</t>
  </si>
  <si>
    <t xml:space="preserve">Telegram Bot API Inbound</t>
  </si>
  <si>
    <t xml:space="preserve">Multi-sig (Safe) Support</t>
  </si>
  <si>
    <t xml:space="preserve">Portfolio / Past Work</t>
  </si>
  <si>
    <t xml:space="preserve">Bulk Job Creation</t>
  </si>
  <si>
    <t xml:space="preserve">Location Verification</t>
  </si>
  <si>
    <t xml:space="preserve">SLA / Response Guarantees</t>
  </si>
  <si>
    <t xml:space="preserve">Quality Scoring System</t>
  </si>
  <si>
    <t xml:space="preserve">Shift Scheduling</t>
  </si>
  <si>
    <t xml:space="preserve">Prioritized Build Order — Path to 9/10</t>
  </si>
  <si>
    <t xml:space="preserve">#</t>
  </si>
  <si>
    <t xml:space="preserve">Feature</t>
  </si>
  <si>
    <t xml:space="preserve">Effort</t>
  </si>
  <si>
    <t xml:space="preserve">Impact</t>
  </si>
  <si>
    <t xml:space="preserve">Executor</t>
  </si>
  <si>
    <t xml:space="preserve">What It Unlocks</t>
  </si>
  <si>
    <t xml:space="preserve">Ship By</t>
  </si>
  <si>
    <t xml:space="preserve">Archetypes Unblocked</t>
  </si>
  <si>
    <t xml:space="preserve">2 wk</t>
  </si>
  <si>
    <t xml:space="preserve">Critical</t>
  </si>
  <si>
    <t xml:space="preserve">Claude + You</t>
  </si>
  <si>
    <t xml:space="preserve">Trust for ALL users. #1 gap across every persona.</t>
  </si>
  <si>
    <t xml:space="preserve">Week 2</t>
  </si>
  <si>
    <t xml:space="preserve">All 10</t>
  </si>
  <si>
    <t xml:space="preserve">1 wk</t>
  </si>
  <si>
    <t xml:space="preserve">Claude</t>
  </si>
  <si>
    <t xml:space="preserve">Weekly content, daily monitoring, ongoing moderation.</t>
  </si>
  <si>
    <t xml:space="preserve">Week 3</t>
  </si>
  <si>
    <t xml:space="preserve">7 of 10</t>
  </si>
  <si>
    <t xml:space="preserve">File Sharing (job attachments)</t>
  </si>
  <si>
    <t xml:space="preserve">High</t>
  </si>
  <si>
    <t xml:space="preserve">Send APKs, raw footage, docs. Receive deliverables.</t>
  </si>
  <si>
    <t xml:space="preserve">Week 4</t>
  </si>
  <si>
    <t xml:space="preserve">3 days</t>
  </si>
  <si>
    <t xml:space="preserve">PRO=100/day, org-level limits, no IP cap for auth'd.</t>
  </si>
  <si>
    <t xml:space="preserve">5 of 10</t>
  </si>
  <si>
    <t xml:space="preserve">Session Persistence (agent)</t>
  </si>
  <si>
    <t xml:space="preserve">Agents survive beyond 1hr. Vibe-coder dream works.</t>
  </si>
  <si>
    <t xml:space="preserve">Week 5</t>
  </si>
  <si>
    <t xml:space="preserve">3 of 10</t>
  </si>
  <si>
    <t xml:space="preserve">1.5 wk</t>
  </si>
  <si>
    <t xml:space="preserve">Book time slots. See who's online NOW. Shift planning.</t>
  </si>
  <si>
    <t xml:space="preserve">Week 6</t>
  </si>
  <si>
    <t xml:space="preserve">4 of 10</t>
  </si>
  <si>
    <t xml:space="preserve">NDA / Confidentiality Flow</t>
  </si>
  <si>
    <t xml:space="preserve">Digital NDA before job access. IP assignment.</t>
  </si>
  <si>
    <t xml:space="preserve">Week 7</t>
  </si>
  <si>
    <t xml:space="preserve">Team / Sub-agent Management</t>
  </si>
  <si>
    <t xml:space="preserve">Org accounts, shared billing, role-based access.</t>
  </si>
  <si>
    <t xml:space="preserve">Week 8</t>
  </si>
  <si>
    <t xml:space="preserve">Medium</t>
  </si>
  <si>
    <t xml:space="preserve">Verify skills via tests, portfolio, LinkedIn.</t>
  </si>
  <si>
    <t xml:space="preserve">Week 9</t>
  </si>
  <si>
    <t xml:space="preserve">Auto-score humans by completion rate, speed, reviews.</t>
  </si>
  <si>
    <t xml:space="preserve">Week 10</t>
  </si>
  <si>
    <t xml:space="preserve">Guaranteed response in 1h/4h. Auto-escalate if missed.</t>
  </si>
  <si>
    <t xml:space="preserve">Create 50 jobs in 1 API call. Batch search+hire.</t>
  </si>
  <si>
    <t xml:space="preserve">Week 11</t>
  </si>
  <si>
    <t xml:space="preserve">Auto-generate invoices, tax summaries, CSV exports.</t>
  </si>
  <si>
    <t xml:space="preserve">Fiat On-Ramp (Coinbase Pay)</t>
  </si>
  <si>
    <t xml:space="preserve">You + Coinbase</t>
  </si>
  <si>
    <t xml:space="preserve">Credit card → USDC. Removes crypto barrier.</t>
  </si>
  <si>
    <t xml:space="preserve">Week 12</t>
  </si>
  <si>
    <t xml:space="preserve">2 of 10</t>
  </si>
  <si>
    <t xml:space="preserve">Portfolio / Past Work Display</t>
  </si>
  <si>
    <t xml:space="preserve">Show work samples in search results + profiles.</t>
  </si>
  <si>
    <t xml:space="preserve">USDT / Multi-token Support</t>
  </si>
  <si>
    <t xml:space="preserve">Low</t>
  </si>
  <si>
    <t xml:space="preserve">Accept USDT, DAI. Matters for TG bot devs.</t>
  </si>
  <si>
    <t xml:space="preserve">Week 13</t>
  </si>
  <si>
    <t xml:space="preserve">3-shift 24/7 coverage. Timezone-aware rotation.</t>
  </si>
  <si>
    <t xml:space="preserve">DAO/fund treasuries can pay directly.</t>
  </si>
  <si>
    <t xml:space="preserve">Week 14</t>
  </si>
  <si>
    <t xml:space="preserve">Trigger hiring from your own TG bot.</t>
  </si>
  <si>
    <t xml:space="preserve">Selfie + GPS proof for on-site tasks.</t>
  </si>
  <si>
    <t xml:space="preserve">Week 15</t>
  </si>
  <si>
    <t xml:space="preserve">1 of 10</t>
  </si>
  <si>
    <t xml:space="preserve">Score Trajectory — Each Archetype After Each Feature Ships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</si>
  <si>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</si>
  <si>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</si>
  <si>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</si>
  <si>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</si>
  <si>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</si>
  <si>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</si>
  <si>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</si>
  <si>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</si>
  <si>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F9</t>
  </si>
  <si>
    <t xml:space="preserve">F10</t>
  </si>
  <si>
    <t xml:space="preserve">F11</t>
  </si>
  <si>
    <t xml:space="preserve">F12</t>
  </si>
  <si>
    <t xml:space="preserve">F13</t>
  </si>
  <si>
    <t xml:space="preserve">F14</t>
  </si>
  <si>
    <t xml:space="preserve">F15</t>
  </si>
  <si>
    <t xml:space="preserve">F16</t>
  </si>
  <si>
    <t xml:space="preserve">F17</t>
  </si>
  <si>
    <t xml:space="preserve">F18</t>
  </si>
  <si>
    <t xml:space="preserve">F19</t>
  </si>
  <si>
    <t xml:space="preserve">F20</t>
  </si>
  <si>
    <t xml:space="preserve">Feature →</t>
  </si>
  <si>
    <t xml:space="preserve">Escrow</t>
  </si>
  <si>
    <t xml:space="preserve">Recur</t>
  </si>
  <si>
    <t xml:space="preserve">Files</t>
  </si>
  <si>
    <t xml:space="preserve">Rates</t>
  </si>
  <si>
    <t xml:space="preserve">Session</t>
  </si>
  <si>
    <t xml:space="preserve">Calendar</t>
  </si>
  <si>
    <t xml:space="preserve">NDA</t>
  </si>
  <si>
    <t xml:space="preserve">Teams</t>
  </si>
  <si>
    <t xml:space="preserve">Creds</t>
  </si>
  <si>
    <t xml:space="preserve">Quality</t>
  </si>
  <si>
    <t xml:space="preserve">SLA</t>
  </si>
  <si>
    <t xml:space="preserve">Bulk</t>
  </si>
  <si>
    <t xml:space="preserve">Invoice</t>
  </si>
  <si>
    <t xml:space="preserve">Fiat</t>
  </si>
  <si>
    <t xml:space="preserve">Portfolio</t>
  </si>
  <si>
    <t xml:space="preserve">USDT</t>
  </si>
  <si>
    <t xml:space="preserve">Shifts</t>
  </si>
  <si>
    <t xml:space="preserve">MultiSig</t>
  </si>
  <si>
    <t xml:space="preserve">TG Bot</t>
  </si>
  <si>
    <t xml:space="preserve">Location</t>
  </si>
  <si>
    <t xml:space="preserve">Nomad agency</t>
  </si>
  <si>
    <t xml:space="preserve">Crypto fund</t>
  </si>
  <si>
    <t xml:space="preserve">AVERAGE</t>
  </si>
  <si>
    <t xml:space="preserve">MINIMUM</t>
  </si>
  <si>
    <t xml:space="preserve">MILESTONES</t>
  </si>
  <si>
    <t xml:space="preserve">Week 4 (F1-F4)</t>
  </si>
  <si>
    <t xml:space="preserve">Avg hits 7.0, worst case hits 4.2. Escrow + recurring + files + rates.</t>
  </si>
  <si>
    <t xml:space="preserve">Week 8 (F1-F8)</t>
  </si>
  <si>
    <t xml:space="preserve">Avg hits 8.0, worst case hits 6.5. All Critical+High features shipped.</t>
  </si>
  <si>
    <t xml:space="preserve">Week 11 (F1-F12)</t>
  </si>
  <si>
    <t xml:space="preserve">Avg hits 8.5, worst case hits 7.5. Medium features done.</t>
  </si>
  <si>
    <t xml:space="preserve">Week 15 (F1-F20)</t>
  </si>
  <si>
    <t xml:space="preserve">Avg hits 9.1, MIN hits 9.0. All archetypes at 9+. DONE.</t>
  </si>
  <si>
    <t xml:space="preserve">Who Builds What — Claude vs You vs Freelancers</t>
  </si>
  <si>
    <t xml:space="preserve">Claude Does</t>
  </si>
  <si>
    <t xml:space="preserve">You Do</t>
  </si>
  <si>
    <t xml:space="preserve">Smart contract code, API endpoints, frontend UI, test suite</t>
  </si>
  <si>
    <t xml:space="preserve">Deploy contract, fund test escrow, legal review</t>
  </si>
  <si>
    <t xml:space="preserve">DB schema, API, frontend recurring job UI, cron scheduler</t>
  </si>
  <si>
    <t xml:space="preserve">Review + merge PR</t>
  </si>
  <si>
    <t xml:space="preserve">R2 upload/download, API endpoints, frontend dropzone</t>
  </si>
  <si>
    <t xml:space="preserve">Rewrite rate limiter, org-level tracking, config</t>
  </si>
  <si>
    <t xml:space="preserve">JWT refresh, persistent agent sessions, Redis store</t>
  </si>
  <si>
    <t xml:space="preserve">Calendar component, booking API, timezone logic</t>
  </si>
  <si>
    <t xml:space="preserve">UX review, test with real humans</t>
  </si>
  <si>
    <t xml:space="preserve">NDA template, digital signature flow, access control</t>
  </si>
  <si>
    <t xml:space="preserve">Legal review of NDA template</t>
  </si>
  <si>
    <t xml:space="preserve">Org model, role-based access, shared billing</t>
  </si>
  <si>
    <t xml:space="preserve">Define roles + permissions matrix</t>
  </si>
  <si>
    <t xml:space="preserve">LinkedIn OAuth verification, skill test framework</t>
  </si>
  <si>
    <t xml:space="preserve">Define skill test questions</t>
  </si>
  <si>
    <t xml:space="preserve">Scoring algorithm, completion rate calc, UI badges</t>
  </si>
  <si>
    <t xml:space="preserve">SLA tiers, auto-escalation logic, notification retry</t>
  </si>
  <si>
    <t xml:space="preserve">Define SLA tiers for market</t>
  </si>
  <si>
    <t xml:space="preserve">Batch API endpoint, bulk search+hire flow</t>
  </si>
  <si>
    <t xml:space="preserve">Invoice PDF generation, tax summary, CSV export</t>
  </si>
  <si>
    <t xml:space="preserve">Fiat On-Ramp</t>
  </si>
  <si>
    <t xml:space="preserve">Coinbase Pay integration, frontend widget</t>
  </si>
  <si>
    <t xml:space="preserve">Coinbase account setup, API keys</t>
  </si>
  <si>
    <t xml:space="preserve">Portfolio upload, gallery component, search integration</t>
  </si>
  <si>
    <t xml:space="preserve">Token config, Superfluid USDT wrapper, payment router</t>
  </si>
  <si>
    <t xml:space="preserve">Shift model, rotation calendar, timezone-aware assignment</t>
  </si>
  <si>
    <t xml:space="preserve">Multi-sig (Safe)</t>
  </si>
  <si>
    <t xml:space="preserve">Safe SDK integration, approval flow, tx batching</t>
  </si>
  <si>
    <t xml:space="preserve">Test with real Safe wallet</t>
  </si>
  <si>
    <t xml:space="preserve">Telegram Bot API</t>
  </si>
  <si>
    <t xml:space="preserve">Inbound webhook handler, /hire command, TG bot logic</t>
  </si>
  <si>
    <t xml:space="preserve">Register bot with BotFather</t>
  </si>
  <si>
    <t xml:space="preserve">GPS+selfie upload, metadata validation, geofencing</t>
  </si>
  <si>
    <t xml:space="preserve">TOTALS</t>
  </si>
  <si>
    <t xml:space="preserve">Claude solo:</t>
  </si>
  <si>
    <t xml:space="preserve">11 features</t>
  </si>
  <si>
    <t xml:space="preserve">Claude + You:</t>
  </si>
  <si>
    <t xml:space="preserve">7 features</t>
  </si>
  <si>
    <t xml:space="preserve">You lead:</t>
  </si>
  <si>
    <t xml:space="preserve">2 features</t>
  </si>
  <si>
    <t xml:space="preserve">Your total time:</t>
  </si>
  <si>
    <t xml:space="preserve">~15-20 hours over 15 weeks</t>
  </si>
  <si>
    <t xml:space="preserve">Claude total time:</t>
  </si>
  <si>
    <t xml:space="preserve">~200+ hours of code generation</t>
  </si>
  <si>
    <t xml:space="preserve">What Each Archetype Needs to Hit 9/10</t>
  </si>
  <si>
    <t xml:space="preserve">Must-Have Features</t>
  </si>
  <si>
    <t xml:space="preserve">Nice-to-Have Features</t>
  </si>
  <si>
    <t xml:space="preserve">Score: Today→9+</t>
  </si>
  <si>
    <t xml:space="preserve">Earliest 9/10</t>
  </si>
  <si>
    <t xml:space="preserve">Escrow, Recurring, File sharing, Rate limits</t>
  </si>
  <si>
    <t xml:space="preserve">Invoicing, Portfolio, Multi-token</t>
  </si>
  <si>
    <t xml:space="preserve">6.5 → 9.2</t>
  </si>
  <si>
    <t xml:space="preserve">Escrow, Recurring, Files, Teams, Invoicing</t>
  </si>
  <si>
    <t xml:space="preserve">Location verification, Bulk hiring</t>
  </si>
  <si>
    <t xml:space="preserve">5.0 → 9.0</t>
  </si>
  <si>
    <t xml:space="preserve">Recurring templates, File sharing, Escrow, Portfolio</t>
  </si>
  <si>
    <t xml:space="preserve">Calendar, Shift scheduling</t>
  </si>
  <si>
    <t xml:space="preserve">4.5 → 9.1</t>
  </si>
  <si>
    <t xml:space="preserve">Recurring, Calendar, Shift scheduling, Escrow</t>
  </si>
  <si>
    <t xml:space="preserve">SLA guarantees, Quality scoring</t>
  </si>
  <si>
    <t xml:space="preserve">4.3 → 9.0</t>
  </si>
  <si>
    <t xml:space="preserve">Escrow, Session persistence, SLA, Quality</t>
  </si>
  <si>
    <t xml:space="preserve">Bulk hire, Fiat on-ramp</t>
  </si>
  <si>
    <t xml:space="preserve">4.0 → 9.3</t>
  </si>
  <si>
    <t xml:space="preserve">Credential verification, NDA, Escrow, Files</t>
  </si>
  <si>
    <t xml:space="preserve">Multi-sig, Portfolio</t>
  </si>
  <si>
    <t xml:space="preserve">4.0 → 9.1</t>
  </si>
  <si>
    <t xml:space="preserve">SLA, Session persistence, Escrow, Quality</t>
  </si>
  <si>
    <t xml:space="preserve">4.0 → 9.0</t>
  </si>
  <si>
    <t xml:space="preserve">USDT support, TG Bot API, Shifts, Recurring</t>
  </si>
  <si>
    <t xml:space="preserve">Escrow, Calendar</t>
  </si>
  <si>
    <t xml:space="preserve">3.0 → 9.0</t>
  </si>
  <si>
    <t xml:space="preserve">Fiat on-ramp, File sharing, Bulk hire, Escrow</t>
  </si>
  <si>
    <t xml:space="preserve">Credential verification, Portfolio</t>
  </si>
  <si>
    <t xml:space="preserve">2.1 → 9.0</t>
  </si>
  <si>
    <t xml:space="preserve">NDA, Multi-sig, Team mgmt, Credential verif, Invoicing</t>
  </si>
  <si>
    <t xml:space="preserve">Quality scoring, Portfolio</t>
  </si>
  <si>
    <t xml:space="preserve">2.2 → 9.0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</si>
</sst>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0.0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B2A4A"/>
      <name val="Arial"/>
      <family val="0"/>
      <charset val="1"/>
    </font>
    <font>
      <sz val="12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A5C2A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F0000"/>
      <name val="Arial"/>
      <family val="0"/>
      <charset val="1"/>
    </font>
    <font>
      <b val="true"/>
      <sz val="14"/>
      <color rgb="FF1A5C2A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b val="true"/>
      <sz val="8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CCCCCC"/>
      <name val="Arial"/>
      <family val="0"/>
      <charset val="1"/>
    </font>
    <font>
      <sz val="9"/>
      <color rgb="FF666666"/>
      <name val="Arial"/>
      <family val="0"/>
      <charset val="1"/>
    </font>
    <font>
      <sz val="7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1"/>
      <color rgb="FF7A1A1A"/>
      <name val="Arial"/>
      <family val="0"/>
      <charset val="1"/>
    </font>
    <font>
      <b val="true"/>
      <sz val="11"/>
      <color rgb="FF2D4A7A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2D4A7A"/>
        <bgColor rgb="FF1B2A4A"/>
      </patternFill>
    </fill>
    <fill>
      <patternFill patternType="solid">
        <fgColor rgb="FFFFD93D"/>
        <bgColor rgb="FFFFFF00"/>
      </patternFill>
    </fill>
    <fill>
      <patternFill patternType="solid">
        <fgColor rgb="FF6BCB77"/>
        <bgColor rgb="FF4CAF50"/>
      </patternFill>
    </fill>
    <fill>
      <patternFill patternType="solid">
        <fgColor rgb="FFE8F5E9"/>
        <bgColor rgb="FFE3F2FD"/>
      </patternFill>
    </fill>
    <fill>
      <patternFill patternType="solid">
        <fgColor rgb="FF1A5C2A"/>
        <bgColor rgb="FF1B5E20"/>
      </patternFill>
    </fill>
    <fill>
      <patternFill patternType="solid">
        <fgColor rgb="FF8B6914"/>
        <bgColor rgb="FF666666"/>
      </patternFill>
    </fill>
    <fill>
      <patternFill patternType="solid">
        <fgColor rgb="FFFF6B6B"/>
        <bgColor rgb="FFFF6600"/>
      </patternFill>
    </fill>
    <fill>
      <patternFill patternType="solid">
        <fgColor rgb="FF7A1A1A"/>
        <bgColor rgb="FF800000"/>
      </patternFill>
    </fill>
    <fill>
      <patternFill patternType="solid">
        <fgColor rgb="FF1B2A4A"/>
        <bgColor rgb="FF003366"/>
      </patternFill>
    </fill>
    <fill>
      <patternFill patternType="solid">
        <fgColor rgb="FFF5F5F5"/>
        <bgColor rgb="FFE8F5E9"/>
      </patternFill>
    </fill>
    <fill>
      <patternFill patternType="solid">
        <fgColor rgb="FFFFF9C4"/>
        <bgColor rgb="FFFFF8E1"/>
      </patternFill>
    </fill>
    <fill>
      <patternFill patternType="solid">
        <fgColor rgb="FFC8E6C9"/>
        <bgColor rgb="FFCCCCCC"/>
      </patternFill>
    </fill>
    <fill>
      <patternFill patternType="solid">
        <fgColor rgb="FFFFF8E1"/>
        <bgColor rgb="FFF5F5F5"/>
      </patternFill>
    </fill>
    <fill>
      <patternFill patternType="solid">
        <fgColor rgb="FFFFCCBC"/>
        <bgColor rgb="FFFFCDD2"/>
      </patternFill>
    </fill>
    <fill>
      <patternFill patternType="solid">
        <fgColor rgb="FFFFCDD2"/>
        <bgColor rgb="FFFFCCBC"/>
      </patternFill>
    </fill>
    <fill>
      <patternFill patternType="solid">
        <fgColor rgb="FF1B5E20"/>
        <bgColor rgb="FF1A5C2A"/>
      </patternFill>
    </fill>
    <fill>
      <patternFill patternType="solid">
        <fgColor rgb="FFE3F2FD"/>
        <bgColor rgb="FFE8F5E9"/>
      </patternFill>
    </fill>
    <fill>
      <patternFill patternType="solid">
        <fgColor rgb="FFFFEBEE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45" wrapText="false" indent="0" shrinkToFit="false"/>
      <protection locked="true" hidden="false"/>
    </xf>
    <xf numFmtId="165" fontId="9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1A1A"/>
      <rgbColor rgb="FF1B5E20"/>
      <rgbColor rgb="FF000080"/>
      <rgbColor rgb="FF8B6914"/>
      <rgbColor rgb="FF800080"/>
      <rgbColor rgb="FF008080"/>
      <rgbColor rgb="FFCCCCCC"/>
      <rgbColor rgb="FF808080"/>
      <rgbColor rgb="FF9999FF"/>
      <rgbColor rgb="FF993366"/>
      <rgbColor rgb="FFFFF9C4"/>
      <rgbColor rgb="FFE3F2FD"/>
      <rgbColor rgb="FF660066"/>
      <rgbColor rgb="FFFF6B6B"/>
      <rgbColor rgb="FF0066CC"/>
      <rgbColor rgb="FFFFC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FF8E1"/>
      <rgbColor rgb="FFF5F5F5"/>
      <rgbColor rgb="FFFFEBEE"/>
      <rgbColor rgb="FFCC99FF"/>
      <rgbColor rgb="FFFFCCBC"/>
      <rgbColor rgb="FF3366FF"/>
      <rgbColor rgb="FF6BCB77"/>
      <rgbColor rgb="FF99CC00"/>
      <rgbColor rgb="FFFFD93D"/>
      <rgbColor rgb="FFFF9800"/>
      <rgbColor rgb="FFFF6600"/>
      <rgbColor rgb="FF666666"/>
      <rgbColor rgb="FF969696"/>
      <rgbColor rgb="FF003366"/>
      <rgbColor rgb="FF4CAF50"/>
      <rgbColor rgb="FF003300"/>
      <rgbColor rgb="FF1A5C2A"/>
      <rgbColor rgb="FF993300"/>
      <rgbColor rgb="FF993366"/>
      <rgbColor rgb="FF2D4A7A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2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5" min="3" style="0" width="12"/>
    <col collapsed="false" customWidth="true" hidden="false" outlineLevel="0" max="6" min="6" style="0" width="40"/>
    <col collapsed="false" customWidth="true" hidden="false" outlineLevel="0" max="7" min="7" style="0" width="25"/>
  </cols>
  <sheetData>
    <row r="2" customFormat="false" ht="22.05" hidden="false" customHeight="false" outlineLevel="0" collapsed="false">
      <c r="B2" s="1" t="s">
        <v>0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2" t="s">
        <v>1</v>
      </c>
      <c r="C4" s="2"/>
      <c r="D4" s="2"/>
      <c r="E4" s="2"/>
      <c r="F4" s="2"/>
      <c r="G4" s="2"/>
    </row>
    <row r="6" customFormat="false" ht="15" hidden="false" customHeight="false" outlineLevel="0" collapsed="false">
      <c r="A6" s="3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0" t="s">
        <v>7</v>
      </c>
    </row>
    <row r="7" customFormat="false" ht="15" hidden="false" customHeight="false" outlineLevel="0" collapsed="false">
      <c r="B7" s="4" t="s">
        <v>8</v>
      </c>
      <c r="C7" s="5" t="n">
        <v>6.5</v>
      </c>
      <c r="D7" s="6" t="n">
        <v>9.2</v>
      </c>
      <c r="E7" s="7" t="s">
        <v>9</v>
      </c>
      <c r="F7" s="8" t="s">
        <v>10</v>
      </c>
      <c r="G7" s="9" t="s">
        <v>11</v>
      </c>
    </row>
    <row r="8" customFormat="false" ht="15" hidden="false" customHeight="false" outlineLevel="0" collapsed="false">
      <c r="B8" s="4" t="s">
        <v>12</v>
      </c>
      <c r="C8" s="5" t="n">
        <v>5</v>
      </c>
      <c r="D8" s="6" t="n">
        <v>9</v>
      </c>
      <c r="E8" s="7" t="s">
        <v>13</v>
      </c>
      <c r="F8" s="8" t="s">
        <v>14</v>
      </c>
      <c r="G8" s="9" t="s">
        <v>11</v>
      </c>
    </row>
    <row r="9" customFormat="false" ht="15" hidden="false" customHeight="false" outlineLevel="0" collapsed="false">
      <c r="B9" s="4" t="s">
        <v>15</v>
      </c>
      <c r="C9" s="5" t="n">
        <v>4.5</v>
      </c>
      <c r="D9" s="6" t="n">
        <v>9.1</v>
      </c>
      <c r="E9" s="7" t="s">
        <v>16</v>
      </c>
      <c r="F9" s="8" t="s">
        <v>17</v>
      </c>
      <c r="G9" s="10" t="s">
        <v>18</v>
      </c>
    </row>
    <row r="10" customFormat="false" ht="15" hidden="false" customHeight="false" outlineLevel="0" collapsed="false">
      <c r="B10" s="4" t="s">
        <v>19</v>
      </c>
      <c r="C10" s="5" t="n">
        <v>4.3</v>
      </c>
      <c r="D10" s="6" t="n">
        <v>9</v>
      </c>
      <c r="E10" s="7" t="s">
        <v>20</v>
      </c>
      <c r="F10" s="8" t="s">
        <v>21</v>
      </c>
      <c r="G10" s="10" t="s">
        <v>18</v>
      </c>
    </row>
    <row r="11" customFormat="false" ht="15" hidden="false" customHeight="false" outlineLevel="0" collapsed="false">
      <c r="B11" s="4" t="s">
        <v>22</v>
      </c>
      <c r="C11" s="5" t="n">
        <v>4</v>
      </c>
      <c r="D11" s="6" t="n">
        <v>9.3</v>
      </c>
      <c r="E11" s="7" t="s">
        <v>23</v>
      </c>
      <c r="F11" s="8" t="s">
        <v>24</v>
      </c>
      <c r="G11" s="10" t="s">
        <v>18</v>
      </c>
    </row>
    <row r="12" customFormat="false" ht="15" hidden="false" customHeight="false" outlineLevel="0" collapsed="false">
      <c r="B12" s="4" t="s">
        <v>25</v>
      </c>
      <c r="C12" s="5" t="n">
        <v>4</v>
      </c>
      <c r="D12" s="6" t="n">
        <v>9.1</v>
      </c>
      <c r="E12" s="7" t="s">
        <v>26</v>
      </c>
      <c r="F12" s="8" t="s">
        <v>27</v>
      </c>
      <c r="G12" s="10" t="s">
        <v>18</v>
      </c>
    </row>
    <row r="13" customFormat="false" ht="15" hidden="false" customHeight="false" outlineLevel="0" collapsed="false">
      <c r="B13" s="4" t="s">
        <v>28</v>
      </c>
      <c r="C13" s="5" t="n">
        <v>4</v>
      </c>
      <c r="D13" s="6" t="n">
        <v>9</v>
      </c>
      <c r="E13" s="7" t="s">
        <v>29</v>
      </c>
      <c r="F13" s="8" t="s">
        <v>30</v>
      </c>
      <c r="G13" s="10" t="s">
        <v>18</v>
      </c>
    </row>
    <row r="14" customFormat="false" ht="15" hidden="false" customHeight="false" outlineLevel="0" collapsed="false">
      <c r="B14" s="4" t="s">
        <v>31</v>
      </c>
      <c r="C14" s="11" t="n">
        <v>3</v>
      </c>
      <c r="D14" s="6" t="n">
        <v>9</v>
      </c>
      <c r="E14" s="7" t="s">
        <v>32</v>
      </c>
      <c r="F14" s="8" t="s">
        <v>33</v>
      </c>
      <c r="G14" s="10" t="s">
        <v>18</v>
      </c>
    </row>
    <row r="15" customFormat="false" ht="15" hidden="false" customHeight="false" outlineLevel="0" collapsed="false">
      <c r="B15" s="4" t="s">
        <v>34</v>
      </c>
      <c r="C15" s="11" t="n">
        <v>2.1</v>
      </c>
      <c r="D15" s="6" t="n">
        <v>9</v>
      </c>
      <c r="E15" s="7" t="s">
        <v>35</v>
      </c>
      <c r="F15" s="8" t="s">
        <v>36</v>
      </c>
      <c r="G15" s="12" t="s">
        <v>37</v>
      </c>
    </row>
    <row r="16" customFormat="false" ht="15" hidden="false" customHeight="false" outlineLevel="0" collapsed="false">
      <c r="B16" s="4" t="s">
        <v>38</v>
      </c>
      <c r="C16" s="11" t="n">
        <v>2.2</v>
      </c>
      <c r="D16" s="6" t="n">
        <v>9</v>
      </c>
      <c r="E16" s="7" t="s">
        <v>39</v>
      </c>
      <c r="F16" s="8" t="s">
        <v>40</v>
      </c>
      <c r="G16" s="12" t="s">
        <v>37</v>
      </c>
    </row>
    <row r="19" customFormat="false" ht="17.35" hidden="false" customHeight="false" outlineLevel="0" collapsed="false">
      <c r="B19" s="13" t="s">
        <v>41</v>
      </c>
      <c r="C19" s="13"/>
      <c r="D19" s="14" t="n">
        <f aca="false">AVERAGE(C7:C16)</f>
        <v>3.96</v>
      </c>
      <c r="E19" s="13" t="s">
        <v>42</v>
      </c>
      <c r="F19" s="13"/>
      <c r="G19" s="15" t="n">
        <f aca="false">AVERAGE(D7:D16)</f>
        <v>9.07</v>
      </c>
    </row>
  </sheetData>
  <mergeCells count="4">
    <mergeCell ref="B2:G2"/>
    <mergeCell ref="B4:G4"/>
    <mergeCell ref="B19:C19"/>
    <mergeCell ref="E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4A7A"/>
    <pageSetUpPr fitToPage="false"/>
  </sheetPr>
  <dimension ref="B1:O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12" min="3" style="0" width="10"/>
    <col collapsed="false" customWidth="true" hidden="false" outlineLevel="0" max="14" min="13" style="0" width="12"/>
    <col collapsed="false" customWidth="true" hidden="false" outlineLevel="0" max="15" min="15" style="0" width="14"/>
  </cols>
  <sheetData>
    <row r="1" customFormat="false" ht="17.35" hidden="false" customHeight="false" outlineLevel="0" collapsed="false">
      <c r="B1" s="16" t="s">
        <v>43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3" customFormat="false" ht="19.4" hidden="false" customHeight="false" outlineLevel="0" collapsed="false">
      <c r="B3" s="17" t="s">
        <v>44</v>
      </c>
      <c r="C3" s="18" t="s">
        <v>45</v>
      </c>
      <c r="D3" s="18" t="s">
        <v>46</v>
      </c>
      <c r="E3" s="18" t="s">
        <v>47</v>
      </c>
      <c r="F3" s="18" t="s">
        <v>48</v>
      </c>
      <c r="G3" s="18" t="s">
        <v>49</v>
      </c>
      <c r="H3" s="18" t="s">
        <v>50</v>
      </c>
      <c r="I3" s="18" t="s">
        <v>51</v>
      </c>
      <c r="J3" s="18" t="s">
        <v>52</v>
      </c>
      <c r="K3" s="18" t="s">
        <v>53</v>
      </c>
      <c r="L3" s="18" t="s">
        <v>54</v>
      </c>
      <c r="M3" s="19" t="s">
        <v>55</v>
      </c>
      <c r="N3" s="19" t="s">
        <v>56</v>
      </c>
      <c r="O3" s="19" t="s">
        <v>57</v>
      </c>
    </row>
    <row r="4" customFormat="false" ht="15" hidden="false" customHeight="false" outlineLevel="0" collapsed="false">
      <c r="B4" s="20" t="s">
        <v>58</v>
      </c>
      <c r="C4" s="21" t="n">
        <v>0.15</v>
      </c>
      <c r="D4" s="21" t="n">
        <v>0.08</v>
      </c>
      <c r="E4" s="21" t="n">
        <v>0.12</v>
      </c>
      <c r="F4" s="21" t="n">
        <v>0.12</v>
      </c>
      <c r="G4" s="21" t="n">
        <v>0.1</v>
      </c>
      <c r="H4" s="21" t="n">
        <v>0.1</v>
      </c>
      <c r="I4" s="21" t="n">
        <v>0.08</v>
      </c>
      <c r="J4" s="21" t="n">
        <v>0.06</v>
      </c>
      <c r="K4" s="21" t="n">
        <v>0.08</v>
      </c>
      <c r="L4" s="21" t="n">
        <v>0.05</v>
      </c>
    </row>
    <row r="5" customFormat="false" ht="26.85" hidden="false" customHeight="false" outlineLevel="0" collapsed="false">
      <c r="B5" s="4" t="s">
        <v>59</v>
      </c>
      <c r="C5" s="22" t="n">
        <v>3</v>
      </c>
      <c r="D5" s="23" t="n">
        <v>2</v>
      </c>
      <c r="E5" s="23" t="n">
        <v>2</v>
      </c>
      <c r="F5" s="22" t="n">
        <v>3</v>
      </c>
      <c r="G5" s="24" t="n">
        <v>1</v>
      </c>
      <c r="H5" s="22" t="n">
        <v>3</v>
      </c>
      <c r="I5" s="23" t="n">
        <v>2</v>
      </c>
      <c r="J5" s="23" t="n">
        <v>2</v>
      </c>
      <c r="K5" s="22" t="n">
        <v>3</v>
      </c>
      <c r="L5" s="22" t="n">
        <v>3</v>
      </c>
      <c r="M5" s="25" t="n">
        <f aca="false">SUM(C5:L5)</f>
        <v>24</v>
      </c>
      <c r="N5" s="26" t="n">
        <f aca="false">SUMPRODUCT(C5:L5,C4:L4)</f>
        <v>2.28</v>
      </c>
      <c r="O5" s="25" t="n">
        <f aca="false">RANK(N5,N$5:N$24)</f>
        <v>1</v>
      </c>
    </row>
    <row r="6" customFormat="false" ht="15" hidden="false" customHeight="false" outlineLevel="0" collapsed="false">
      <c r="B6" s="4" t="s">
        <v>60</v>
      </c>
      <c r="C6" s="23" t="n">
        <v>2</v>
      </c>
      <c r="D6" s="23" t="n">
        <v>2</v>
      </c>
      <c r="E6" s="22" t="n">
        <v>3</v>
      </c>
      <c r="F6" s="24" t="n">
        <v>1</v>
      </c>
      <c r="G6" s="22" t="n">
        <v>3</v>
      </c>
      <c r="H6" s="23" t="n">
        <v>2</v>
      </c>
      <c r="I6" s="22" t="n">
        <v>3</v>
      </c>
      <c r="J6" s="23" t="n">
        <v>2</v>
      </c>
      <c r="K6" s="22" t="n">
        <v>3</v>
      </c>
      <c r="L6" s="24" t="n">
        <v>1</v>
      </c>
      <c r="M6" s="25" t="n">
        <f aca="false">SUM(C6:L6)</f>
        <v>22</v>
      </c>
      <c r="N6" s="26" t="n">
        <f aca="false">SUMPRODUCT(C6:L6,C4:L4)</f>
        <v>2.09</v>
      </c>
      <c r="O6" s="25" t="n">
        <f aca="false">RANK(N6,N$5:N$24)</f>
        <v>2</v>
      </c>
    </row>
    <row r="7" customFormat="false" ht="15" hidden="false" customHeight="false" outlineLevel="0" collapsed="false">
      <c r="B7" s="4" t="s">
        <v>61</v>
      </c>
      <c r="C7" s="23" t="n">
        <v>2</v>
      </c>
      <c r="D7" s="22" t="n">
        <v>3</v>
      </c>
      <c r="E7" s="24" t="n">
        <v>1</v>
      </c>
      <c r="F7" s="23" t="n">
        <v>2</v>
      </c>
      <c r="G7" s="24" t="n">
        <v>1</v>
      </c>
      <c r="H7" s="23" t="n">
        <v>2</v>
      </c>
      <c r="I7" s="22" t="n">
        <v>3</v>
      </c>
      <c r="J7" s="24" t="n">
        <v>1</v>
      </c>
      <c r="K7" s="23" t="n">
        <v>2</v>
      </c>
      <c r="L7" s="23" t="n">
        <v>2</v>
      </c>
      <c r="M7" s="25" t="n">
        <f aca="false">SUM(C7:L7)</f>
        <v>19</v>
      </c>
      <c r="N7" s="26" t="n">
        <f aca="false">SUMPRODUCT(C7:L7,C4:L4)</f>
        <v>1.76</v>
      </c>
      <c r="O7" s="25" t="n">
        <f aca="false">RANK(N7,N$5:N$24)</f>
        <v>3</v>
      </c>
    </row>
    <row r="8" customFormat="false" ht="15" hidden="false" customHeight="false" outlineLevel="0" collapsed="false">
      <c r="B8" s="4" t="s">
        <v>62</v>
      </c>
      <c r="C8" s="27" t="n">
        <v>0</v>
      </c>
      <c r="D8" s="24" t="n">
        <v>1</v>
      </c>
      <c r="E8" s="27" t="n">
        <v>0</v>
      </c>
      <c r="F8" s="23" t="n">
        <v>2</v>
      </c>
      <c r="G8" s="27" t="n">
        <v>0</v>
      </c>
      <c r="H8" s="24" t="n">
        <v>1</v>
      </c>
      <c r="I8" s="23" t="n">
        <v>2</v>
      </c>
      <c r="J8" s="27" t="n">
        <v>0</v>
      </c>
      <c r="K8" s="24" t="n">
        <v>1</v>
      </c>
      <c r="L8" s="22" t="n">
        <v>3</v>
      </c>
      <c r="M8" s="25" t="n">
        <f aca="false">SUM(C8:L8)</f>
        <v>10</v>
      </c>
      <c r="N8" s="26" t="n">
        <f aca="false">SUMPRODUCT(C8:L8,C4:L4)</f>
        <v>0.81</v>
      </c>
      <c r="O8" s="25" t="n">
        <f aca="false">RANK(N8,N$5:N$24)</f>
        <v>9</v>
      </c>
    </row>
    <row r="9" customFormat="false" ht="15" hidden="false" customHeight="false" outlineLevel="0" collapsed="false">
      <c r="B9" s="4" t="s">
        <v>63</v>
      </c>
      <c r="C9" s="27" t="n">
        <v>0</v>
      </c>
      <c r="D9" s="27" t="n">
        <v>0</v>
      </c>
      <c r="E9" s="24" t="n">
        <v>1</v>
      </c>
      <c r="F9" s="24" t="n">
        <v>1</v>
      </c>
      <c r="G9" s="27" t="n">
        <v>0</v>
      </c>
      <c r="H9" s="24" t="n">
        <v>1</v>
      </c>
      <c r="I9" s="24" t="n">
        <v>1</v>
      </c>
      <c r="J9" s="27" t="n">
        <v>0</v>
      </c>
      <c r="K9" s="22" t="n">
        <v>3</v>
      </c>
      <c r="L9" s="23" t="n">
        <v>2</v>
      </c>
      <c r="M9" s="25" t="n">
        <f aca="false">SUM(C9:L9)</f>
        <v>9</v>
      </c>
      <c r="N9" s="26" t="n">
        <f aca="false">SUMPRODUCT(C9:L9,C4:L4)</f>
        <v>0.76</v>
      </c>
      <c r="O9" s="25" t="n">
        <f aca="false">RANK(N9,N$5:N$24)</f>
        <v>11</v>
      </c>
    </row>
    <row r="10" customFormat="false" ht="15" hidden="false" customHeight="false" outlineLevel="0" collapsed="false">
      <c r="B10" s="4" t="s">
        <v>64</v>
      </c>
      <c r="C10" s="24" t="n">
        <v>1</v>
      </c>
      <c r="D10" s="23" t="n">
        <v>2</v>
      </c>
      <c r="E10" s="24" t="n">
        <v>1</v>
      </c>
      <c r="F10" s="24" t="n">
        <v>1</v>
      </c>
      <c r="G10" s="23" t="n">
        <v>2</v>
      </c>
      <c r="H10" s="23" t="n">
        <v>2</v>
      </c>
      <c r="I10" s="24" t="n">
        <v>1</v>
      </c>
      <c r="J10" s="24" t="n">
        <v>1</v>
      </c>
      <c r="K10" s="24" t="n">
        <v>1</v>
      </c>
      <c r="L10" s="24" t="n">
        <v>1</v>
      </c>
      <c r="M10" s="25" t="n">
        <f aca="false">SUM(C10:L10)</f>
        <v>13</v>
      </c>
      <c r="N10" s="26" t="n">
        <f aca="false">SUMPRODUCT(C10:L10,C4:L4)</f>
        <v>1.22</v>
      </c>
      <c r="O10" s="25" t="n">
        <f aca="false">RANK(N10,N$5:N$24)</f>
        <v>5</v>
      </c>
    </row>
    <row r="11" customFormat="false" ht="15" hidden="false" customHeight="false" outlineLevel="0" collapsed="false">
      <c r="B11" s="4" t="s">
        <v>65</v>
      </c>
      <c r="C11" s="24" t="n">
        <v>1</v>
      </c>
      <c r="D11" s="24" t="n">
        <v>1</v>
      </c>
      <c r="E11" s="23" t="n">
        <v>2</v>
      </c>
      <c r="F11" s="24" t="n">
        <v>1</v>
      </c>
      <c r="G11" s="23" t="n">
        <v>2</v>
      </c>
      <c r="H11" s="24" t="n">
        <v>1</v>
      </c>
      <c r="I11" s="23" t="n">
        <v>2</v>
      </c>
      <c r="J11" s="23" t="n">
        <v>2</v>
      </c>
      <c r="K11" s="24" t="n">
        <v>1</v>
      </c>
      <c r="L11" s="27" t="n">
        <v>0</v>
      </c>
      <c r="M11" s="25" t="n">
        <f aca="false">SUM(C11:L11)</f>
        <v>13</v>
      </c>
      <c r="N11" s="26" t="n">
        <f aca="false">SUMPRODUCT(C11:L11,C4:L4)</f>
        <v>1.25</v>
      </c>
      <c r="O11" s="25" t="n">
        <f aca="false">RANK(N11,N$5:N$24)</f>
        <v>4</v>
      </c>
    </row>
    <row r="12" customFormat="false" ht="15" hidden="false" customHeight="false" outlineLevel="0" collapsed="false">
      <c r="B12" s="4" t="s">
        <v>66</v>
      </c>
      <c r="C12" s="24" t="n">
        <v>1</v>
      </c>
      <c r="D12" s="24" t="n">
        <v>1</v>
      </c>
      <c r="E12" s="27" t="n">
        <v>0</v>
      </c>
      <c r="F12" s="23" t="n">
        <v>2</v>
      </c>
      <c r="G12" s="27" t="n">
        <v>0</v>
      </c>
      <c r="H12" s="24" t="n">
        <v>1</v>
      </c>
      <c r="I12" s="24" t="n">
        <v>1</v>
      </c>
      <c r="J12" s="27" t="n">
        <v>0</v>
      </c>
      <c r="K12" s="24" t="n">
        <v>1</v>
      </c>
      <c r="L12" s="22" t="n">
        <v>3</v>
      </c>
      <c r="M12" s="25" t="n">
        <f aca="false">SUM(C12:L12)</f>
        <v>10</v>
      </c>
      <c r="N12" s="26" t="n">
        <f aca="false">SUMPRODUCT(C12:L12,C4:L4)</f>
        <v>0.88</v>
      </c>
      <c r="O12" s="25" t="n">
        <f aca="false">RANK(N12,N$5:N$24)</f>
        <v>6</v>
      </c>
    </row>
    <row r="13" customFormat="false" ht="15" hidden="false" customHeight="false" outlineLevel="0" collapsed="false">
      <c r="B13" s="4" t="s">
        <v>67</v>
      </c>
      <c r="C13" s="23" t="n">
        <v>2</v>
      </c>
      <c r="D13" s="27" t="n">
        <v>0</v>
      </c>
      <c r="E13" s="27" t="n">
        <v>0</v>
      </c>
      <c r="F13" s="24" t="n">
        <v>1</v>
      </c>
      <c r="G13" s="27" t="n">
        <v>0</v>
      </c>
      <c r="H13" s="23" t="n">
        <v>2</v>
      </c>
      <c r="I13" s="27" t="n">
        <v>0</v>
      </c>
      <c r="J13" s="27" t="n">
        <v>0</v>
      </c>
      <c r="K13" s="27" t="n">
        <v>0</v>
      </c>
      <c r="L13" s="27" t="n">
        <v>0</v>
      </c>
      <c r="M13" s="25" t="n">
        <f aca="false">SUM(C13:L13)</f>
        <v>5</v>
      </c>
      <c r="N13" s="26" t="n">
        <f aca="false">SUMPRODUCT(C13:L13,C4:L4)</f>
        <v>0.62</v>
      </c>
      <c r="O13" s="25" t="n">
        <f aca="false">RANK(N13,N$5:N$24)</f>
        <v>12</v>
      </c>
    </row>
    <row r="14" customFormat="false" ht="15" hidden="false" customHeight="false" outlineLevel="0" collapsed="false">
      <c r="B14" s="4" t="s">
        <v>68</v>
      </c>
      <c r="C14" s="27" t="n">
        <v>0</v>
      </c>
      <c r="D14" s="27" t="n">
        <v>0</v>
      </c>
      <c r="E14" s="27" t="n">
        <v>0</v>
      </c>
      <c r="F14" s="27" t="n">
        <v>0</v>
      </c>
      <c r="G14" s="24" t="n">
        <v>1</v>
      </c>
      <c r="H14" s="27" t="n">
        <v>0</v>
      </c>
      <c r="I14" s="24" t="n">
        <v>1</v>
      </c>
      <c r="J14" s="27" t="n">
        <v>0</v>
      </c>
      <c r="K14" s="23" t="n">
        <v>2</v>
      </c>
      <c r="L14" s="23" t="n">
        <v>2</v>
      </c>
      <c r="M14" s="25" t="n">
        <f aca="false">SUM(C14:L14)</f>
        <v>6</v>
      </c>
      <c r="N14" s="26" t="n">
        <f aca="false">SUMPRODUCT(C14:L14,C4:L4)</f>
        <v>0.44</v>
      </c>
      <c r="O14" s="25" t="n">
        <f aca="false">RANK(N14,N$5:N$24)</f>
        <v>15</v>
      </c>
    </row>
    <row r="15" customFormat="false" ht="15" hidden="false" customHeight="false" outlineLevel="0" collapsed="false">
      <c r="B15" s="4" t="s">
        <v>69</v>
      </c>
      <c r="C15" s="27" t="n">
        <v>0</v>
      </c>
      <c r="D15" s="22" t="n">
        <v>3</v>
      </c>
      <c r="E15" s="27" t="n">
        <v>0</v>
      </c>
      <c r="F15" s="27" t="n">
        <v>0</v>
      </c>
      <c r="G15" s="27" t="n">
        <v>0</v>
      </c>
      <c r="H15" s="24" t="n">
        <v>1</v>
      </c>
      <c r="I15" s="27" t="n">
        <v>0</v>
      </c>
      <c r="J15" s="27" t="n">
        <v>0</v>
      </c>
      <c r="K15" s="23" t="n">
        <v>2</v>
      </c>
      <c r="L15" s="27" t="n">
        <v>0</v>
      </c>
      <c r="M15" s="25" t="n">
        <f aca="false">SUM(C15:L15)</f>
        <v>6</v>
      </c>
      <c r="N15" s="26" t="n">
        <f aca="false">SUMPRODUCT(C15:L15,C4:L4)</f>
        <v>0.5</v>
      </c>
      <c r="O15" s="25" t="n">
        <f aca="false">RANK(N15,N$5:N$24)</f>
        <v>14</v>
      </c>
    </row>
    <row r="16" customFormat="false" ht="15" hidden="false" customHeight="false" outlineLevel="0" collapsed="false">
      <c r="B16" s="4" t="s">
        <v>70</v>
      </c>
      <c r="C16" s="27" t="n">
        <v>0</v>
      </c>
      <c r="D16" s="27" t="n">
        <v>0</v>
      </c>
      <c r="E16" s="24" t="n">
        <v>1</v>
      </c>
      <c r="F16" s="27" t="n">
        <v>0</v>
      </c>
      <c r="G16" s="24" t="n">
        <v>1</v>
      </c>
      <c r="H16" s="27" t="n">
        <v>0</v>
      </c>
      <c r="I16" s="27" t="n">
        <v>0</v>
      </c>
      <c r="J16" s="24" t="n">
        <v>1</v>
      </c>
      <c r="K16" s="27" t="n">
        <v>0</v>
      </c>
      <c r="L16" s="27" t="n">
        <v>0</v>
      </c>
      <c r="M16" s="25" t="n">
        <f aca="false">SUM(C16:L16)</f>
        <v>3</v>
      </c>
      <c r="N16" s="26" t="n">
        <f aca="false">SUMPRODUCT(C16:L16,C4:L4)</f>
        <v>0.28</v>
      </c>
      <c r="O16" s="25" t="n">
        <f aca="false">RANK(N16,N$5:N$24)</f>
        <v>18</v>
      </c>
    </row>
    <row r="17" customFormat="false" ht="15" hidden="false" customHeight="false" outlineLevel="0" collapsed="false">
      <c r="B17" s="4" t="s">
        <v>71</v>
      </c>
      <c r="C17" s="27" t="n">
        <v>0</v>
      </c>
      <c r="D17" s="27" t="n">
        <v>0</v>
      </c>
      <c r="E17" s="27" t="n">
        <v>0</v>
      </c>
      <c r="F17" s="27" t="n">
        <v>0</v>
      </c>
      <c r="G17" s="27" t="n">
        <v>0</v>
      </c>
      <c r="H17" s="27" t="n">
        <v>0</v>
      </c>
      <c r="I17" s="27" t="n">
        <v>0</v>
      </c>
      <c r="J17" s="24" t="n">
        <v>1</v>
      </c>
      <c r="K17" s="23" t="n">
        <v>2</v>
      </c>
      <c r="L17" s="27" t="n">
        <v>0</v>
      </c>
      <c r="M17" s="25" t="n">
        <f aca="false">SUM(C17:L17)</f>
        <v>3</v>
      </c>
      <c r="N17" s="26" t="n">
        <f aca="false">SUMPRODUCT(C17:L17,C4:L4)</f>
        <v>0.22</v>
      </c>
      <c r="O17" s="25" t="n">
        <f aca="false">RANK(N17,N$5:N$24)</f>
        <v>19</v>
      </c>
    </row>
    <row r="18" customFormat="false" ht="15" hidden="false" customHeight="false" outlineLevel="0" collapsed="false">
      <c r="B18" s="4" t="s">
        <v>72</v>
      </c>
      <c r="C18" s="27" t="n">
        <v>0</v>
      </c>
      <c r="D18" s="27" t="n">
        <v>0</v>
      </c>
      <c r="E18" s="27" t="n">
        <v>0</v>
      </c>
      <c r="F18" s="24" t="n">
        <v>1</v>
      </c>
      <c r="G18" s="27" t="n">
        <v>0</v>
      </c>
      <c r="H18" s="27" t="n">
        <v>0</v>
      </c>
      <c r="I18" s="27" t="n">
        <v>0</v>
      </c>
      <c r="J18" s="27" t="n">
        <v>0</v>
      </c>
      <c r="K18" s="24" t="n">
        <v>1</v>
      </c>
      <c r="L18" s="22" t="n">
        <v>3</v>
      </c>
      <c r="M18" s="25" t="n">
        <f aca="false">SUM(C18:L18)</f>
        <v>5</v>
      </c>
      <c r="N18" s="26" t="n">
        <f aca="false">SUMPRODUCT(C18:L18,C4:L4)</f>
        <v>0.35</v>
      </c>
      <c r="O18" s="25" t="n">
        <f aca="false">RANK(N18,N$5:N$24)</f>
        <v>16</v>
      </c>
    </row>
    <row r="19" customFormat="false" ht="15" hidden="false" customHeight="false" outlineLevel="0" collapsed="false">
      <c r="B19" s="4" t="s">
        <v>73</v>
      </c>
      <c r="C19" s="24" t="n">
        <v>1</v>
      </c>
      <c r="D19" s="24" t="n">
        <v>1</v>
      </c>
      <c r="E19" s="27" t="n">
        <v>0</v>
      </c>
      <c r="F19" s="24" t="n">
        <v>1</v>
      </c>
      <c r="G19" s="27" t="n">
        <v>0</v>
      </c>
      <c r="H19" s="27" t="n">
        <v>0</v>
      </c>
      <c r="I19" s="23" t="n">
        <v>2</v>
      </c>
      <c r="J19" s="27" t="n">
        <v>0</v>
      </c>
      <c r="K19" s="27" t="n">
        <v>0</v>
      </c>
      <c r="L19" s="24" t="n">
        <v>1</v>
      </c>
      <c r="M19" s="25" t="n">
        <f aca="false">SUM(C19:L19)</f>
        <v>6</v>
      </c>
      <c r="N19" s="26" t="n">
        <f aca="false">SUMPRODUCT(C19:L19,C4:L4)</f>
        <v>0.56</v>
      </c>
      <c r="O19" s="25" t="n">
        <f aca="false">RANK(N19,N$5:N$24)</f>
        <v>13</v>
      </c>
    </row>
    <row r="20" customFormat="false" ht="15" hidden="false" customHeight="false" outlineLevel="0" collapsed="false">
      <c r="B20" s="4" t="s">
        <v>74</v>
      </c>
      <c r="C20" s="24" t="n">
        <v>1</v>
      </c>
      <c r="D20" s="23" t="n">
        <v>2</v>
      </c>
      <c r="E20" s="24" t="n">
        <v>1</v>
      </c>
      <c r="F20" s="27" t="n">
        <v>0</v>
      </c>
      <c r="G20" s="27" t="n">
        <v>0</v>
      </c>
      <c r="H20" s="24" t="n">
        <v>1</v>
      </c>
      <c r="I20" s="24" t="n">
        <v>1</v>
      </c>
      <c r="J20" s="27" t="n">
        <v>0</v>
      </c>
      <c r="K20" s="23" t="n">
        <v>2</v>
      </c>
      <c r="L20" s="24" t="n">
        <v>1</v>
      </c>
      <c r="M20" s="25" t="n">
        <f aca="false">SUM(C20:L20)</f>
        <v>9</v>
      </c>
      <c r="N20" s="26" t="n">
        <f aca="false">SUMPRODUCT(C20:L20,C4:L4)</f>
        <v>0.82</v>
      </c>
      <c r="O20" s="25" t="n">
        <f aca="false">RANK(N20,N$5:N$24)</f>
        <v>8</v>
      </c>
    </row>
    <row r="21" customFormat="false" ht="15" hidden="false" customHeight="false" outlineLevel="0" collapsed="false">
      <c r="B21" s="4" t="s">
        <v>75</v>
      </c>
      <c r="C21" s="27" t="n">
        <v>0</v>
      </c>
      <c r="D21" s="27" t="n">
        <v>0</v>
      </c>
      <c r="E21" s="27" t="n">
        <v>0</v>
      </c>
      <c r="F21" s="27" t="n">
        <v>0</v>
      </c>
      <c r="G21" s="27" t="n">
        <v>0</v>
      </c>
      <c r="H21" s="27" t="n">
        <v>0</v>
      </c>
      <c r="I21" s="27" t="n">
        <v>0</v>
      </c>
      <c r="J21" s="27" t="n">
        <v>0</v>
      </c>
      <c r="K21" s="23" t="n">
        <v>2</v>
      </c>
      <c r="L21" s="27" t="n">
        <v>0</v>
      </c>
      <c r="M21" s="25" t="n">
        <f aca="false">SUM(C21:L21)</f>
        <v>2</v>
      </c>
      <c r="N21" s="26" t="n">
        <f aca="false">SUMPRODUCT(C21:L21,C4:L4)</f>
        <v>0.16</v>
      </c>
      <c r="O21" s="25" t="n">
        <f aca="false">RANK(N21,N$5:N$24)</f>
        <v>20</v>
      </c>
    </row>
    <row r="22" customFormat="false" ht="26.85" hidden="false" customHeight="false" outlineLevel="0" collapsed="false">
      <c r="B22" s="4" t="s">
        <v>76</v>
      </c>
      <c r="C22" s="24" t="n">
        <v>1</v>
      </c>
      <c r="D22" s="24" t="n">
        <v>1</v>
      </c>
      <c r="E22" s="23" t="n">
        <v>2</v>
      </c>
      <c r="F22" s="24" t="n">
        <v>1</v>
      </c>
      <c r="G22" s="27" t="n">
        <v>0</v>
      </c>
      <c r="H22" s="23" t="n">
        <v>2</v>
      </c>
      <c r="I22" s="24" t="n">
        <v>1</v>
      </c>
      <c r="J22" s="27" t="n">
        <v>0</v>
      </c>
      <c r="K22" s="27" t="n">
        <v>0</v>
      </c>
      <c r="L22" s="27" t="n">
        <v>0</v>
      </c>
      <c r="M22" s="25" t="n">
        <f aca="false">SUM(C22:L22)</f>
        <v>8</v>
      </c>
      <c r="N22" s="26" t="n">
        <f aca="false">SUMPRODUCT(C22:L22,C4:L4)</f>
        <v>0.87</v>
      </c>
      <c r="O22" s="25" t="n">
        <f aca="false">RANK(N22,N$5:N$24)</f>
        <v>7</v>
      </c>
    </row>
    <row r="23" customFormat="false" ht="15" hidden="false" customHeight="false" outlineLevel="0" collapsed="false">
      <c r="B23" s="4" t="s">
        <v>77</v>
      </c>
      <c r="C23" s="24" t="n">
        <v>1</v>
      </c>
      <c r="D23" s="24" t="n">
        <v>1</v>
      </c>
      <c r="E23" s="24" t="n">
        <v>1</v>
      </c>
      <c r="F23" s="24" t="n">
        <v>1</v>
      </c>
      <c r="G23" s="27" t="n">
        <v>0</v>
      </c>
      <c r="H23" s="23" t="n">
        <v>2</v>
      </c>
      <c r="I23" s="24" t="n">
        <v>1</v>
      </c>
      <c r="J23" s="27" t="n">
        <v>0</v>
      </c>
      <c r="K23" s="27" t="n">
        <v>0</v>
      </c>
      <c r="L23" s="24" t="n">
        <v>1</v>
      </c>
      <c r="M23" s="25" t="n">
        <f aca="false">SUM(C23:L23)</f>
        <v>8</v>
      </c>
      <c r="N23" s="26" t="n">
        <f aca="false">SUMPRODUCT(C23:L23,C4:L4)</f>
        <v>0.8</v>
      </c>
      <c r="O23" s="25" t="n">
        <f aca="false">RANK(N23,N$5:N$24)</f>
        <v>10</v>
      </c>
    </row>
    <row r="24" customFormat="false" ht="15" hidden="false" customHeight="false" outlineLevel="0" collapsed="false">
      <c r="B24" s="4" t="s">
        <v>78</v>
      </c>
      <c r="C24" s="27" t="n">
        <v>0</v>
      </c>
      <c r="D24" s="27" t="n">
        <v>0</v>
      </c>
      <c r="E24" s="23" t="n">
        <v>2</v>
      </c>
      <c r="F24" s="27" t="n">
        <v>0</v>
      </c>
      <c r="G24" s="27" t="n">
        <v>0</v>
      </c>
      <c r="H24" s="27" t="n">
        <v>0</v>
      </c>
      <c r="I24" s="27" t="n">
        <v>0</v>
      </c>
      <c r="J24" s="27" t="n">
        <v>0</v>
      </c>
      <c r="K24" s="24" t="n">
        <v>1</v>
      </c>
      <c r="L24" s="27" t="n">
        <v>0</v>
      </c>
      <c r="M24" s="25" t="n">
        <f aca="false">SUM(C24:L24)</f>
        <v>3</v>
      </c>
      <c r="N24" s="26" t="n">
        <f aca="false">SUMPRODUCT(C24:L24,C4:L4)</f>
        <v>0.32</v>
      </c>
      <c r="O24" s="25" t="n">
        <f aca="false">RANK(N24,N$5:N$24)</f>
        <v>17</v>
      </c>
    </row>
  </sheetData>
  <mergeCells count="1">
    <mergeCell ref="B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5C2A"/>
    <pageSetUpPr fitToPage="false"/>
  </sheetPr>
  <dimension ref="B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50"/>
    <col collapsed="false" customWidth="true" hidden="false" outlineLevel="0" max="8" min="8" style="0" width="15"/>
    <col collapsed="false" customWidth="true" hidden="false" outlineLevel="0" max="9" min="9" style="0" width="35"/>
  </cols>
  <sheetData>
    <row r="1" customFormat="false" ht="17.35" hidden="false" customHeight="false" outlineLevel="0" collapsed="false">
      <c r="B1" s="16" t="s">
        <v>79</v>
      </c>
      <c r="C1" s="16"/>
      <c r="D1" s="16"/>
      <c r="E1" s="16"/>
      <c r="F1" s="16"/>
      <c r="G1" s="16"/>
      <c r="H1" s="16"/>
      <c r="I1" s="16"/>
    </row>
    <row r="3" customFormat="false" ht="15" hidden="false" customHeight="false" outlineLevel="0" collapsed="false">
      <c r="B3" s="3" t="s">
        <v>80</v>
      </c>
      <c r="C3" s="3" t="s">
        <v>81</v>
      </c>
      <c r="D3" s="3" t="s">
        <v>82</v>
      </c>
      <c r="E3" s="3" t="s">
        <v>83</v>
      </c>
      <c r="F3" s="3" t="s">
        <v>84</v>
      </c>
      <c r="G3" s="3" t="s">
        <v>85</v>
      </c>
      <c r="H3" s="3" t="s">
        <v>86</v>
      </c>
      <c r="I3" s="3" t="s">
        <v>87</v>
      </c>
    </row>
    <row r="4" customFormat="false" ht="15" hidden="false" customHeight="false" outlineLevel="0" collapsed="false">
      <c r="B4" s="28" t="n">
        <v>1</v>
      </c>
      <c r="C4" s="29" t="s">
        <v>59</v>
      </c>
      <c r="D4" s="24" t="s">
        <v>88</v>
      </c>
      <c r="E4" s="30" t="s">
        <v>89</v>
      </c>
      <c r="F4" s="31" t="s">
        <v>90</v>
      </c>
      <c r="G4" s="32" t="s">
        <v>91</v>
      </c>
      <c r="H4" s="24" t="s">
        <v>92</v>
      </c>
      <c r="I4" s="24" t="s">
        <v>93</v>
      </c>
    </row>
    <row r="5" customFormat="false" ht="15" hidden="false" customHeight="false" outlineLevel="0" collapsed="false">
      <c r="B5" s="28" t="n">
        <v>2</v>
      </c>
      <c r="C5" s="29" t="s">
        <v>60</v>
      </c>
      <c r="D5" s="24" t="s">
        <v>94</v>
      </c>
      <c r="E5" s="30" t="s">
        <v>89</v>
      </c>
      <c r="F5" s="33" t="s">
        <v>95</v>
      </c>
      <c r="G5" s="32" t="s">
        <v>96</v>
      </c>
      <c r="H5" s="24" t="s">
        <v>97</v>
      </c>
      <c r="I5" s="24" t="s">
        <v>98</v>
      </c>
    </row>
    <row r="6" customFormat="false" ht="26.85" hidden="false" customHeight="false" outlineLevel="0" collapsed="false">
      <c r="B6" s="28" t="n">
        <v>3</v>
      </c>
      <c r="C6" s="29" t="s">
        <v>99</v>
      </c>
      <c r="D6" s="24" t="s">
        <v>94</v>
      </c>
      <c r="E6" s="5" t="s">
        <v>100</v>
      </c>
      <c r="F6" s="33" t="s">
        <v>95</v>
      </c>
      <c r="G6" s="32" t="s">
        <v>101</v>
      </c>
      <c r="H6" s="24" t="s">
        <v>102</v>
      </c>
      <c r="I6" s="24" t="s">
        <v>98</v>
      </c>
    </row>
    <row r="7" customFormat="false" ht="15" hidden="false" customHeight="false" outlineLevel="0" collapsed="false">
      <c r="B7" s="28" t="n">
        <v>4</v>
      </c>
      <c r="C7" s="29" t="s">
        <v>64</v>
      </c>
      <c r="D7" s="24" t="s">
        <v>103</v>
      </c>
      <c r="E7" s="5" t="s">
        <v>100</v>
      </c>
      <c r="F7" s="33" t="s">
        <v>95</v>
      </c>
      <c r="G7" s="32" t="s">
        <v>104</v>
      </c>
      <c r="H7" s="24" t="s">
        <v>102</v>
      </c>
      <c r="I7" s="24" t="s">
        <v>105</v>
      </c>
    </row>
    <row r="8" customFormat="false" ht="15" hidden="false" customHeight="false" outlineLevel="0" collapsed="false">
      <c r="B8" s="28" t="n">
        <v>5</v>
      </c>
      <c r="C8" s="29" t="s">
        <v>106</v>
      </c>
      <c r="D8" s="24" t="s">
        <v>103</v>
      </c>
      <c r="E8" s="5" t="s">
        <v>100</v>
      </c>
      <c r="F8" s="33" t="s">
        <v>95</v>
      </c>
      <c r="G8" s="32" t="s">
        <v>107</v>
      </c>
      <c r="H8" s="24" t="s">
        <v>108</v>
      </c>
      <c r="I8" s="24" t="s">
        <v>109</v>
      </c>
    </row>
    <row r="9" customFormat="false" ht="15" hidden="false" customHeight="false" outlineLevel="0" collapsed="false">
      <c r="B9" s="34" t="n">
        <v>6</v>
      </c>
      <c r="C9" s="35" t="s">
        <v>65</v>
      </c>
      <c r="D9" s="36" t="s">
        <v>110</v>
      </c>
      <c r="E9" s="5" t="s">
        <v>100</v>
      </c>
      <c r="F9" s="31" t="s">
        <v>90</v>
      </c>
      <c r="G9" s="37" t="s">
        <v>111</v>
      </c>
      <c r="H9" s="36" t="s">
        <v>112</v>
      </c>
      <c r="I9" s="36" t="s">
        <v>113</v>
      </c>
    </row>
    <row r="10" customFormat="false" ht="15" hidden="false" customHeight="false" outlineLevel="0" collapsed="false">
      <c r="B10" s="34" t="n">
        <v>7</v>
      </c>
      <c r="C10" s="35" t="s">
        <v>114</v>
      </c>
      <c r="D10" s="36" t="s">
        <v>94</v>
      </c>
      <c r="E10" s="5" t="s">
        <v>100</v>
      </c>
      <c r="F10" s="33" t="s">
        <v>95</v>
      </c>
      <c r="G10" s="37" t="s">
        <v>115</v>
      </c>
      <c r="H10" s="36" t="s">
        <v>116</v>
      </c>
      <c r="I10" s="36" t="s">
        <v>105</v>
      </c>
    </row>
    <row r="11" customFormat="false" ht="26.85" hidden="false" customHeight="false" outlineLevel="0" collapsed="false">
      <c r="B11" s="34" t="n">
        <v>8</v>
      </c>
      <c r="C11" s="35" t="s">
        <v>117</v>
      </c>
      <c r="D11" s="36" t="s">
        <v>110</v>
      </c>
      <c r="E11" s="5" t="s">
        <v>100</v>
      </c>
      <c r="F11" s="31" t="s">
        <v>90</v>
      </c>
      <c r="G11" s="37" t="s">
        <v>118</v>
      </c>
      <c r="H11" s="36" t="s">
        <v>119</v>
      </c>
      <c r="I11" s="36" t="s">
        <v>105</v>
      </c>
    </row>
    <row r="12" customFormat="false" ht="15" hidden="false" customHeight="false" outlineLevel="0" collapsed="false">
      <c r="B12" s="34" t="n">
        <v>9</v>
      </c>
      <c r="C12" s="35" t="s">
        <v>66</v>
      </c>
      <c r="D12" s="36" t="s">
        <v>94</v>
      </c>
      <c r="E12" s="28" t="s">
        <v>120</v>
      </c>
      <c r="F12" s="31" t="s">
        <v>90</v>
      </c>
      <c r="G12" s="37" t="s">
        <v>121</v>
      </c>
      <c r="H12" s="36" t="s">
        <v>122</v>
      </c>
      <c r="I12" s="36" t="s">
        <v>113</v>
      </c>
    </row>
    <row r="13" customFormat="false" ht="15" hidden="false" customHeight="false" outlineLevel="0" collapsed="false">
      <c r="B13" s="34" t="n">
        <v>10</v>
      </c>
      <c r="C13" s="35" t="s">
        <v>77</v>
      </c>
      <c r="D13" s="36" t="s">
        <v>94</v>
      </c>
      <c r="E13" s="28" t="s">
        <v>120</v>
      </c>
      <c r="F13" s="33" t="s">
        <v>95</v>
      </c>
      <c r="G13" s="37" t="s">
        <v>123</v>
      </c>
      <c r="H13" s="36" t="s">
        <v>124</v>
      </c>
      <c r="I13" s="36" t="s">
        <v>113</v>
      </c>
    </row>
    <row r="14" customFormat="false" ht="15" hidden="false" customHeight="false" outlineLevel="0" collapsed="false">
      <c r="B14" s="34" t="n">
        <v>11</v>
      </c>
      <c r="C14" s="35" t="s">
        <v>76</v>
      </c>
      <c r="D14" s="36" t="s">
        <v>94</v>
      </c>
      <c r="E14" s="28" t="s">
        <v>120</v>
      </c>
      <c r="F14" s="33" t="s">
        <v>95</v>
      </c>
      <c r="G14" s="37" t="s">
        <v>125</v>
      </c>
      <c r="H14" s="36" t="s">
        <v>124</v>
      </c>
      <c r="I14" s="36" t="s">
        <v>109</v>
      </c>
    </row>
    <row r="15" customFormat="false" ht="15" hidden="false" customHeight="false" outlineLevel="0" collapsed="false">
      <c r="B15" s="38" t="n">
        <v>12</v>
      </c>
      <c r="C15" s="39" t="s">
        <v>74</v>
      </c>
      <c r="D15" s="40" t="s">
        <v>103</v>
      </c>
      <c r="E15" s="28" t="s">
        <v>120</v>
      </c>
      <c r="F15" s="33" t="s">
        <v>95</v>
      </c>
      <c r="G15" s="41" t="s">
        <v>126</v>
      </c>
      <c r="H15" s="40" t="s">
        <v>127</v>
      </c>
      <c r="I15" s="40" t="s">
        <v>113</v>
      </c>
    </row>
    <row r="16" customFormat="false" ht="15" hidden="false" customHeight="false" outlineLevel="0" collapsed="false">
      <c r="B16" s="38" t="n">
        <v>13</v>
      </c>
      <c r="C16" s="39" t="s">
        <v>68</v>
      </c>
      <c r="D16" s="40" t="s">
        <v>94</v>
      </c>
      <c r="E16" s="28" t="s">
        <v>120</v>
      </c>
      <c r="F16" s="33" t="s">
        <v>95</v>
      </c>
      <c r="G16" s="41" t="s">
        <v>128</v>
      </c>
      <c r="H16" s="40" t="s">
        <v>127</v>
      </c>
      <c r="I16" s="40" t="s">
        <v>109</v>
      </c>
    </row>
    <row r="17" customFormat="false" ht="23.85" hidden="false" customHeight="false" outlineLevel="0" collapsed="false">
      <c r="B17" s="38" t="n">
        <v>14</v>
      </c>
      <c r="C17" s="39" t="s">
        <v>129</v>
      </c>
      <c r="D17" s="40" t="s">
        <v>94</v>
      </c>
      <c r="E17" s="28" t="s">
        <v>120</v>
      </c>
      <c r="F17" s="42" t="s">
        <v>130</v>
      </c>
      <c r="G17" s="41" t="s">
        <v>131</v>
      </c>
      <c r="H17" s="40" t="s">
        <v>132</v>
      </c>
      <c r="I17" s="40" t="s">
        <v>133</v>
      </c>
    </row>
    <row r="18" customFormat="false" ht="15" hidden="false" customHeight="false" outlineLevel="0" collapsed="false">
      <c r="B18" s="38" t="n">
        <v>15</v>
      </c>
      <c r="C18" s="39" t="s">
        <v>134</v>
      </c>
      <c r="D18" s="40" t="s">
        <v>103</v>
      </c>
      <c r="E18" s="28" t="s">
        <v>120</v>
      </c>
      <c r="F18" s="33" t="s">
        <v>95</v>
      </c>
      <c r="G18" s="41" t="s">
        <v>135</v>
      </c>
      <c r="H18" s="40" t="s">
        <v>132</v>
      </c>
      <c r="I18" s="40" t="s">
        <v>109</v>
      </c>
    </row>
    <row r="19" customFormat="false" ht="15" hidden="false" customHeight="false" outlineLevel="0" collapsed="false">
      <c r="B19" s="38" t="n">
        <v>16</v>
      </c>
      <c r="C19" s="39" t="s">
        <v>136</v>
      </c>
      <c r="D19" s="40" t="s">
        <v>103</v>
      </c>
      <c r="E19" s="28" t="s">
        <v>137</v>
      </c>
      <c r="F19" s="33" t="s">
        <v>95</v>
      </c>
      <c r="G19" s="41" t="s">
        <v>138</v>
      </c>
      <c r="H19" s="40" t="s">
        <v>139</v>
      </c>
      <c r="I19" s="40" t="s">
        <v>133</v>
      </c>
    </row>
    <row r="20" customFormat="false" ht="15" hidden="false" customHeight="false" outlineLevel="0" collapsed="false">
      <c r="B20" s="38" t="n">
        <v>17</v>
      </c>
      <c r="C20" s="39" t="s">
        <v>78</v>
      </c>
      <c r="D20" s="40" t="s">
        <v>94</v>
      </c>
      <c r="E20" s="28" t="s">
        <v>137</v>
      </c>
      <c r="F20" s="33" t="s">
        <v>95</v>
      </c>
      <c r="G20" s="41" t="s">
        <v>140</v>
      </c>
      <c r="H20" s="40" t="s">
        <v>139</v>
      </c>
      <c r="I20" s="40" t="s">
        <v>133</v>
      </c>
    </row>
    <row r="21" customFormat="false" ht="15" hidden="false" customHeight="false" outlineLevel="0" collapsed="false">
      <c r="B21" s="38" t="n">
        <v>18</v>
      </c>
      <c r="C21" s="39" t="s">
        <v>72</v>
      </c>
      <c r="D21" s="40" t="s">
        <v>94</v>
      </c>
      <c r="E21" s="28" t="s">
        <v>137</v>
      </c>
      <c r="F21" s="31" t="s">
        <v>90</v>
      </c>
      <c r="G21" s="41" t="s">
        <v>141</v>
      </c>
      <c r="H21" s="40" t="s">
        <v>142</v>
      </c>
      <c r="I21" s="40" t="s">
        <v>133</v>
      </c>
    </row>
    <row r="22" customFormat="false" ht="15" hidden="false" customHeight="false" outlineLevel="0" collapsed="false">
      <c r="B22" s="38" t="n">
        <v>19</v>
      </c>
      <c r="C22" s="39" t="s">
        <v>71</v>
      </c>
      <c r="D22" s="40" t="s">
        <v>94</v>
      </c>
      <c r="E22" s="28" t="s">
        <v>137</v>
      </c>
      <c r="F22" s="33" t="s">
        <v>95</v>
      </c>
      <c r="G22" s="41" t="s">
        <v>143</v>
      </c>
      <c r="H22" s="40" t="s">
        <v>142</v>
      </c>
      <c r="I22" s="40" t="s">
        <v>133</v>
      </c>
    </row>
    <row r="23" customFormat="false" ht="15" hidden="false" customHeight="false" outlineLevel="0" collapsed="false">
      <c r="B23" s="38" t="n">
        <v>20</v>
      </c>
      <c r="C23" s="39" t="s">
        <v>75</v>
      </c>
      <c r="D23" s="40" t="s">
        <v>103</v>
      </c>
      <c r="E23" s="28" t="s">
        <v>137</v>
      </c>
      <c r="F23" s="33" t="s">
        <v>95</v>
      </c>
      <c r="G23" s="41" t="s">
        <v>144</v>
      </c>
      <c r="H23" s="40" t="s">
        <v>145</v>
      </c>
      <c r="I23" s="40" t="s">
        <v>146</v>
      </c>
    </row>
  </sheetData>
  <mergeCells count="1">
    <mergeCell ref="B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B6B"/>
    <pageSetUpPr fitToPage="false"/>
  </sheetPr>
  <dimension ref="B1:W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23" min="3" style="0" width="8"/>
  </cols>
  <sheetData>
    <row r="1" customFormat="false" ht="17.35" hidden="false" customHeight="false" outlineLevel="0" collapsed="false">
      <c r="B1" s="16" t="s">
        <v>147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3" customFormat="false" ht="15" hidden="false" customHeight="false" outlineLevel="0" collapsed="false">
      <c r="B3" s="43" t="s">
        <v>2</v>
      </c>
      <c r="C3" s="44" t="s">
        <v>3</v>
      </c>
      <c r="D3" s="44" t="s">
        <v>148</v>
      </c>
      <c r="E3" s="44" t="s">
        <v>149</v>
      </c>
      <c r="F3" s="44" t="s">
        <v>150</v>
      </c>
      <c r="G3" s="44" t="s">
        <v>151</v>
      </c>
      <c r="H3" s="44" t="s">
        <v>152</v>
      </c>
      <c r="I3" s="44" t="s">
        <v>153</v>
      </c>
      <c r="J3" s="44" t="s">
        <v>154</v>
      </c>
      <c r="K3" s="44" t="s">
        <v>155</v>
      </c>
      <c r="L3" s="44" t="s">
        <v>156</v>
      </c>
      <c r="M3" s="44" t="s">
        <v>157</v>
      </c>
      <c r="N3" s="44" t="s">
        <v>158</v>
      </c>
      <c r="O3" s="44" t="s">
        <v>159</v>
      </c>
      <c r="P3" s="44" t="s">
        <v>160</v>
      </c>
      <c r="Q3" s="44" t="s">
        <v>161</v>
      </c>
      <c r="R3" s="44" t="s">
        <v>162</v>
      </c>
      <c r="S3" s="44" t="s">
        <v>163</v>
      </c>
      <c r="T3" s="44" t="s">
        <v>164</v>
      </c>
      <c r="U3" s="44" t="s">
        <v>165</v>
      </c>
      <c r="V3" s="44" t="s">
        <v>166</v>
      </c>
      <c r="W3" s="44" t="s">
        <v>167</v>
      </c>
    </row>
    <row r="4" customFormat="false" ht="25.35" hidden="false" customHeight="false" outlineLevel="0" collapsed="false">
      <c r="B4" s="45" t="s">
        <v>168</v>
      </c>
      <c r="D4" s="46" t="s">
        <v>169</v>
      </c>
      <c r="E4" s="46" t="s">
        <v>170</v>
      </c>
      <c r="F4" s="46" t="s">
        <v>171</v>
      </c>
      <c r="G4" s="46" t="s">
        <v>172</v>
      </c>
      <c r="H4" s="46" t="s">
        <v>173</v>
      </c>
      <c r="I4" s="46" t="s">
        <v>174</v>
      </c>
      <c r="J4" s="46" t="s">
        <v>175</v>
      </c>
      <c r="K4" s="46" t="s">
        <v>176</v>
      </c>
      <c r="L4" s="46" t="s">
        <v>177</v>
      </c>
      <c r="M4" s="46" t="s">
        <v>178</v>
      </c>
      <c r="N4" s="46" t="s">
        <v>179</v>
      </c>
      <c r="O4" s="46" t="s">
        <v>180</v>
      </c>
      <c r="P4" s="46" t="s">
        <v>181</v>
      </c>
      <c r="Q4" s="46" t="s">
        <v>182</v>
      </c>
      <c r="R4" s="46" t="s">
        <v>183</v>
      </c>
      <c r="S4" s="46" t="s">
        <v>184</v>
      </c>
      <c r="T4" s="46" t="s">
        <v>185</v>
      </c>
      <c r="U4" s="46" t="s">
        <v>186</v>
      </c>
      <c r="V4" s="46" t="s">
        <v>187</v>
      </c>
      <c r="W4" s="46" t="s">
        <v>188</v>
      </c>
    </row>
    <row r="5" customFormat="false" ht="15" hidden="false" customHeight="false" outlineLevel="0" collapsed="false">
      <c r="B5" s="4" t="s">
        <v>22</v>
      </c>
      <c r="C5" s="47" t="n">
        <v>4</v>
      </c>
      <c r="D5" s="48" t="n">
        <v>5.5</v>
      </c>
      <c r="E5" s="48" t="n">
        <v>6.2</v>
      </c>
      <c r="F5" s="48" t="n">
        <v>6.8</v>
      </c>
      <c r="G5" s="49" t="n">
        <v>7.2</v>
      </c>
      <c r="H5" s="49" t="n">
        <v>8</v>
      </c>
      <c r="I5" s="49" t="n">
        <v>8.2</v>
      </c>
      <c r="J5" s="49" t="n">
        <v>8.2</v>
      </c>
      <c r="K5" s="49" t="n">
        <v>8.4</v>
      </c>
      <c r="L5" s="49" t="n">
        <v>8.6</v>
      </c>
      <c r="M5" s="49" t="n">
        <v>8.8</v>
      </c>
      <c r="N5" s="50" t="n">
        <v>9</v>
      </c>
      <c r="O5" s="50" t="n">
        <v>9</v>
      </c>
      <c r="P5" s="50" t="n">
        <v>9</v>
      </c>
      <c r="Q5" s="50" t="n">
        <v>9</v>
      </c>
      <c r="R5" s="50" t="n">
        <v>9.1</v>
      </c>
      <c r="S5" s="50" t="n">
        <v>9.1</v>
      </c>
      <c r="T5" s="50" t="n">
        <v>9.1</v>
      </c>
      <c r="U5" s="50" t="n">
        <v>9.1</v>
      </c>
      <c r="V5" s="50" t="n">
        <v>9.2</v>
      </c>
      <c r="W5" s="50" t="n">
        <v>9.3</v>
      </c>
    </row>
    <row r="6" customFormat="false" ht="15" hidden="false" customHeight="false" outlineLevel="0" collapsed="false">
      <c r="B6" s="4" t="s">
        <v>34</v>
      </c>
      <c r="C6" s="47" t="n">
        <v>2.1</v>
      </c>
      <c r="D6" s="47" t="n">
        <v>3.5</v>
      </c>
      <c r="E6" s="47" t="n">
        <v>4</v>
      </c>
      <c r="F6" s="48" t="n">
        <v>5</v>
      </c>
      <c r="G6" s="48" t="n">
        <v>5.5</v>
      </c>
      <c r="H6" s="48" t="n">
        <v>5.8</v>
      </c>
      <c r="I6" s="48" t="n">
        <v>6.2</v>
      </c>
      <c r="J6" s="48" t="n">
        <v>6.5</v>
      </c>
      <c r="K6" s="48" t="n">
        <v>6.5</v>
      </c>
      <c r="L6" s="49" t="n">
        <v>7</v>
      </c>
      <c r="M6" s="49" t="n">
        <v>7.3</v>
      </c>
      <c r="N6" s="49" t="n">
        <v>7.5</v>
      </c>
      <c r="O6" s="49" t="n">
        <v>7.8</v>
      </c>
      <c r="P6" s="49" t="n">
        <v>8</v>
      </c>
      <c r="Q6" s="49" t="n">
        <v>8.5</v>
      </c>
      <c r="R6" s="49" t="n">
        <v>8.7</v>
      </c>
      <c r="S6" s="49" t="n">
        <v>8.7</v>
      </c>
      <c r="T6" s="49" t="n">
        <v>8.7</v>
      </c>
      <c r="U6" s="49" t="n">
        <v>8.7</v>
      </c>
      <c r="V6" s="49" t="n">
        <v>8.8</v>
      </c>
      <c r="W6" s="50" t="n">
        <v>9</v>
      </c>
    </row>
    <row r="7" customFormat="false" ht="15" hidden="false" customHeight="false" outlineLevel="0" collapsed="false">
      <c r="B7" s="4" t="s">
        <v>19</v>
      </c>
      <c r="C7" s="47" t="n">
        <v>4.3</v>
      </c>
      <c r="D7" s="48" t="n">
        <v>5.5</v>
      </c>
      <c r="E7" s="49" t="n">
        <v>7</v>
      </c>
      <c r="F7" s="49" t="n">
        <v>7.3</v>
      </c>
      <c r="G7" s="49" t="n">
        <v>7.5</v>
      </c>
      <c r="H7" s="49" t="n">
        <v>7.5</v>
      </c>
      <c r="I7" s="49" t="n">
        <v>8.2</v>
      </c>
      <c r="J7" s="49" t="n">
        <v>8.2</v>
      </c>
      <c r="K7" s="49" t="n">
        <v>8.2</v>
      </c>
      <c r="L7" s="49" t="n">
        <v>8.4</v>
      </c>
      <c r="M7" s="49" t="n">
        <v>8.6</v>
      </c>
      <c r="N7" s="49" t="n">
        <v>8.8</v>
      </c>
      <c r="O7" s="49" t="n">
        <v>8.9</v>
      </c>
      <c r="P7" s="49" t="n">
        <v>8.9</v>
      </c>
      <c r="Q7" s="49" t="n">
        <v>8.9</v>
      </c>
      <c r="R7" s="49" t="n">
        <v>8.9</v>
      </c>
      <c r="S7" s="49" t="n">
        <v>8.9</v>
      </c>
      <c r="T7" s="50" t="n">
        <v>9</v>
      </c>
      <c r="U7" s="50" t="n">
        <v>9</v>
      </c>
      <c r="V7" s="50" t="n">
        <v>9</v>
      </c>
      <c r="W7" s="50" t="n">
        <v>9</v>
      </c>
    </row>
    <row r="8" customFormat="false" ht="15" hidden="false" customHeight="false" outlineLevel="0" collapsed="false">
      <c r="B8" s="4" t="s">
        <v>25</v>
      </c>
      <c r="C8" s="47" t="n">
        <v>4</v>
      </c>
      <c r="D8" s="48" t="n">
        <v>5.5</v>
      </c>
      <c r="E8" s="48" t="n">
        <v>6</v>
      </c>
      <c r="F8" s="48" t="n">
        <v>6.5</v>
      </c>
      <c r="G8" s="48" t="n">
        <v>6.8</v>
      </c>
      <c r="H8" s="49" t="n">
        <v>7</v>
      </c>
      <c r="I8" s="49" t="n">
        <v>7.3</v>
      </c>
      <c r="J8" s="49" t="n">
        <v>7.8</v>
      </c>
      <c r="K8" s="49" t="n">
        <v>7.8</v>
      </c>
      <c r="L8" s="49" t="n">
        <v>8</v>
      </c>
      <c r="M8" s="49" t="n">
        <v>8.5</v>
      </c>
      <c r="N8" s="49" t="n">
        <v>8.7</v>
      </c>
      <c r="O8" s="49" t="n">
        <v>8.7</v>
      </c>
      <c r="P8" s="49" t="n">
        <v>8.8</v>
      </c>
      <c r="Q8" s="49" t="n">
        <v>8.8</v>
      </c>
      <c r="R8" s="49" t="n">
        <v>8.9</v>
      </c>
      <c r="S8" s="50" t="n">
        <v>9</v>
      </c>
      <c r="T8" s="50" t="n">
        <v>9</v>
      </c>
      <c r="U8" s="50" t="n">
        <v>9</v>
      </c>
      <c r="V8" s="50" t="n">
        <v>9.1</v>
      </c>
      <c r="W8" s="50" t="n">
        <v>9.1</v>
      </c>
    </row>
    <row r="9" customFormat="false" ht="15" hidden="false" customHeight="false" outlineLevel="0" collapsed="false">
      <c r="B9" s="4" t="s">
        <v>8</v>
      </c>
      <c r="C9" s="48" t="n">
        <v>6.5</v>
      </c>
      <c r="D9" s="49" t="n">
        <v>7.5</v>
      </c>
      <c r="E9" s="49" t="n">
        <v>8</v>
      </c>
      <c r="F9" s="49" t="n">
        <v>8.2</v>
      </c>
      <c r="G9" s="49" t="n">
        <v>8.4</v>
      </c>
      <c r="H9" s="49" t="n">
        <v>8.5</v>
      </c>
      <c r="I9" s="49" t="n">
        <v>8.6</v>
      </c>
      <c r="J9" s="49" t="n">
        <v>8.6</v>
      </c>
      <c r="K9" s="49" t="n">
        <v>8.7</v>
      </c>
      <c r="L9" s="49" t="n">
        <v>8.7</v>
      </c>
      <c r="M9" s="49" t="n">
        <v>8.8</v>
      </c>
      <c r="N9" s="49" t="n">
        <v>8.8</v>
      </c>
      <c r="O9" s="49" t="n">
        <v>8.9</v>
      </c>
      <c r="P9" s="50" t="n">
        <v>9</v>
      </c>
      <c r="Q9" s="50" t="n">
        <v>9</v>
      </c>
      <c r="R9" s="50" t="n">
        <v>9</v>
      </c>
      <c r="S9" s="50" t="n">
        <v>9.1</v>
      </c>
      <c r="T9" s="50" t="n">
        <v>9.1</v>
      </c>
      <c r="U9" s="50" t="n">
        <v>9.1</v>
      </c>
      <c r="V9" s="50" t="n">
        <v>9.2</v>
      </c>
      <c r="W9" s="50" t="n">
        <v>9.2</v>
      </c>
    </row>
    <row r="10" customFormat="false" ht="15" hidden="false" customHeight="false" outlineLevel="0" collapsed="false">
      <c r="B10" s="4" t="s">
        <v>28</v>
      </c>
      <c r="C10" s="47" t="n">
        <v>4</v>
      </c>
      <c r="D10" s="48" t="n">
        <v>5.5</v>
      </c>
      <c r="E10" s="48" t="n">
        <v>6</v>
      </c>
      <c r="F10" s="48" t="n">
        <v>6.5</v>
      </c>
      <c r="G10" s="49" t="n">
        <v>7</v>
      </c>
      <c r="H10" s="49" t="n">
        <v>7.5</v>
      </c>
      <c r="I10" s="49" t="n">
        <v>7.8</v>
      </c>
      <c r="J10" s="49" t="n">
        <v>7.8</v>
      </c>
      <c r="K10" s="49" t="n">
        <v>8</v>
      </c>
      <c r="L10" s="49" t="n">
        <v>8.2</v>
      </c>
      <c r="M10" s="49" t="n">
        <v>8.5</v>
      </c>
      <c r="N10" s="49" t="n">
        <v>8.8</v>
      </c>
      <c r="O10" s="49" t="n">
        <v>8.9</v>
      </c>
      <c r="P10" s="49" t="n">
        <v>8.9</v>
      </c>
      <c r="Q10" s="49" t="n">
        <v>8.9</v>
      </c>
      <c r="R10" s="50" t="n">
        <v>9</v>
      </c>
      <c r="S10" s="50" t="n">
        <v>9</v>
      </c>
      <c r="T10" s="50" t="n">
        <v>9</v>
      </c>
      <c r="U10" s="50" t="n">
        <v>9</v>
      </c>
      <c r="V10" s="50" t="n">
        <v>9</v>
      </c>
      <c r="W10" s="50" t="n">
        <v>9</v>
      </c>
    </row>
    <row r="11" customFormat="false" ht="15" hidden="false" customHeight="false" outlineLevel="0" collapsed="false">
      <c r="B11" s="4" t="s">
        <v>15</v>
      </c>
      <c r="C11" s="47" t="n">
        <v>4.5</v>
      </c>
      <c r="D11" s="48" t="n">
        <v>5.5</v>
      </c>
      <c r="E11" s="49" t="n">
        <v>7</v>
      </c>
      <c r="F11" s="49" t="n">
        <v>7.8</v>
      </c>
      <c r="G11" s="49" t="n">
        <v>8</v>
      </c>
      <c r="H11" s="49" t="n">
        <v>8</v>
      </c>
      <c r="I11" s="49" t="n">
        <v>8.3</v>
      </c>
      <c r="J11" s="49" t="n">
        <v>8.3</v>
      </c>
      <c r="K11" s="49" t="n">
        <v>8.3</v>
      </c>
      <c r="L11" s="49" t="n">
        <v>8.5</v>
      </c>
      <c r="M11" s="49" t="n">
        <v>8.7</v>
      </c>
      <c r="N11" s="49" t="n">
        <v>8.7</v>
      </c>
      <c r="O11" s="49" t="n">
        <v>8.8</v>
      </c>
      <c r="P11" s="49" t="n">
        <v>8.8</v>
      </c>
      <c r="Q11" s="49" t="n">
        <v>8.9</v>
      </c>
      <c r="R11" s="50" t="n">
        <v>9</v>
      </c>
      <c r="S11" s="50" t="n">
        <v>9</v>
      </c>
      <c r="T11" s="50" t="n">
        <v>9</v>
      </c>
      <c r="U11" s="50" t="n">
        <v>9</v>
      </c>
      <c r="V11" s="50" t="n">
        <v>9.1</v>
      </c>
      <c r="W11" s="50" t="n">
        <v>9.1</v>
      </c>
    </row>
    <row r="12" customFormat="false" ht="15" hidden="false" customHeight="false" outlineLevel="0" collapsed="false">
      <c r="B12" s="4" t="s">
        <v>31</v>
      </c>
      <c r="C12" s="47" t="n">
        <v>3</v>
      </c>
      <c r="D12" s="47" t="n">
        <v>4</v>
      </c>
      <c r="E12" s="48" t="n">
        <v>5.5</v>
      </c>
      <c r="F12" s="48" t="n">
        <v>5.8</v>
      </c>
      <c r="G12" s="48" t="n">
        <v>6</v>
      </c>
      <c r="H12" s="48" t="n">
        <v>6.2</v>
      </c>
      <c r="I12" s="48" t="n">
        <v>6.5</v>
      </c>
      <c r="J12" s="48" t="n">
        <v>6.5</v>
      </c>
      <c r="K12" s="48" t="n">
        <v>6.5</v>
      </c>
      <c r="L12" s="48" t="n">
        <v>6.8</v>
      </c>
      <c r="M12" s="49" t="n">
        <v>7</v>
      </c>
      <c r="N12" s="49" t="n">
        <v>7</v>
      </c>
      <c r="O12" s="49" t="n">
        <v>7.3</v>
      </c>
      <c r="P12" s="49" t="n">
        <v>7.5</v>
      </c>
      <c r="Q12" s="49" t="n">
        <v>7.5</v>
      </c>
      <c r="R12" s="49" t="n">
        <v>7.5</v>
      </c>
      <c r="S12" s="49" t="n">
        <v>8</v>
      </c>
      <c r="T12" s="49" t="n">
        <v>8.5</v>
      </c>
      <c r="U12" s="49" t="n">
        <v>8.5</v>
      </c>
      <c r="V12" s="50" t="n">
        <v>9</v>
      </c>
      <c r="W12" s="50" t="n">
        <v>9</v>
      </c>
    </row>
    <row r="13" customFormat="false" ht="15" hidden="false" customHeight="false" outlineLevel="0" collapsed="false">
      <c r="B13" s="4" t="s">
        <v>189</v>
      </c>
      <c r="C13" s="48" t="n">
        <v>5</v>
      </c>
      <c r="D13" s="48" t="n">
        <v>6</v>
      </c>
      <c r="E13" s="48" t="n">
        <v>6.5</v>
      </c>
      <c r="F13" s="49" t="n">
        <v>7</v>
      </c>
      <c r="G13" s="49" t="n">
        <v>7.2</v>
      </c>
      <c r="H13" s="49" t="n">
        <v>7.2</v>
      </c>
      <c r="I13" s="49" t="n">
        <v>7.5</v>
      </c>
      <c r="J13" s="49" t="n">
        <v>7.5</v>
      </c>
      <c r="K13" s="49" t="n">
        <v>8.2</v>
      </c>
      <c r="L13" s="49" t="n">
        <v>8.4</v>
      </c>
      <c r="M13" s="49" t="n">
        <v>8.5</v>
      </c>
      <c r="N13" s="49" t="n">
        <v>8.6</v>
      </c>
      <c r="O13" s="49" t="n">
        <v>8.8</v>
      </c>
      <c r="P13" s="50" t="n">
        <v>9</v>
      </c>
      <c r="Q13" s="50" t="n">
        <v>9</v>
      </c>
      <c r="R13" s="50" t="n">
        <v>9</v>
      </c>
      <c r="S13" s="50" t="n">
        <v>9</v>
      </c>
      <c r="T13" s="50" t="n">
        <v>9</v>
      </c>
      <c r="U13" s="50" t="n">
        <v>9</v>
      </c>
      <c r="V13" s="50" t="n">
        <v>9</v>
      </c>
      <c r="W13" s="50" t="n">
        <v>9</v>
      </c>
    </row>
    <row r="14" customFormat="false" ht="15" hidden="false" customHeight="false" outlineLevel="0" collapsed="false">
      <c r="B14" s="4" t="s">
        <v>190</v>
      </c>
      <c r="C14" s="47" t="n">
        <v>2.2</v>
      </c>
      <c r="D14" s="47" t="n">
        <v>3.5</v>
      </c>
      <c r="E14" s="47" t="n">
        <v>3.8</v>
      </c>
      <c r="F14" s="47" t="n">
        <v>4</v>
      </c>
      <c r="G14" s="47" t="n">
        <v>4.2</v>
      </c>
      <c r="H14" s="47" t="n">
        <v>4.2</v>
      </c>
      <c r="I14" s="47" t="n">
        <v>4.5</v>
      </c>
      <c r="J14" s="48" t="n">
        <v>5.5</v>
      </c>
      <c r="K14" s="48" t="n">
        <v>6.5</v>
      </c>
      <c r="L14" s="49" t="n">
        <v>7</v>
      </c>
      <c r="M14" s="49" t="n">
        <v>7.5</v>
      </c>
      <c r="N14" s="49" t="n">
        <v>7.5</v>
      </c>
      <c r="O14" s="49" t="n">
        <v>7.8</v>
      </c>
      <c r="P14" s="49" t="n">
        <v>8.5</v>
      </c>
      <c r="Q14" s="49" t="n">
        <v>8.5</v>
      </c>
      <c r="R14" s="49" t="n">
        <v>8.7</v>
      </c>
      <c r="S14" s="49" t="n">
        <v>8.7</v>
      </c>
      <c r="T14" s="49" t="n">
        <v>8.7</v>
      </c>
      <c r="U14" s="50" t="n">
        <v>9</v>
      </c>
      <c r="V14" s="50" t="n">
        <v>9</v>
      </c>
      <c r="W14" s="50" t="n">
        <v>9</v>
      </c>
    </row>
    <row r="16" customFormat="false" ht="15" hidden="false" customHeight="false" outlineLevel="0" collapsed="false">
      <c r="B16" s="51" t="s">
        <v>191</v>
      </c>
      <c r="C16" s="52" t="n">
        <f aca="false">AVERAGE(C5:C14)</f>
        <v>3.96</v>
      </c>
      <c r="D16" s="52" t="n">
        <f aca="false">AVERAGE(D5:D14)</f>
        <v>5.2</v>
      </c>
      <c r="E16" s="52" t="n">
        <f aca="false">AVERAGE(E5:E14)</f>
        <v>6</v>
      </c>
      <c r="F16" s="52" t="n">
        <f aca="false">AVERAGE(F5:F14)</f>
        <v>6.49</v>
      </c>
      <c r="G16" s="52" t="n">
        <f aca="false">AVERAGE(G5:G14)</f>
        <v>6.78</v>
      </c>
      <c r="H16" s="52" t="n">
        <f aca="false">AVERAGE(H5:H14)</f>
        <v>6.99</v>
      </c>
      <c r="I16" s="52" t="n">
        <f aca="false">AVERAGE(I5:I14)</f>
        <v>7.31</v>
      </c>
      <c r="J16" s="52" t="n">
        <f aca="false">AVERAGE(J5:J14)</f>
        <v>7.49</v>
      </c>
      <c r="K16" s="52" t="n">
        <f aca="false">AVERAGE(K5:K14)</f>
        <v>7.71</v>
      </c>
      <c r="L16" s="52" t="n">
        <f aca="false">AVERAGE(L5:L14)</f>
        <v>7.96</v>
      </c>
      <c r="M16" s="52" t="n">
        <f aca="false">AVERAGE(M5:M14)</f>
        <v>8.22</v>
      </c>
      <c r="N16" s="52" t="n">
        <f aca="false">AVERAGE(N5:N14)</f>
        <v>8.34</v>
      </c>
      <c r="O16" s="52" t="n">
        <f aca="false">AVERAGE(O5:O14)</f>
        <v>8.49</v>
      </c>
      <c r="P16" s="52" t="n">
        <f aca="false">AVERAGE(P5:P14)</f>
        <v>8.64</v>
      </c>
      <c r="Q16" s="52" t="n">
        <f aca="false">AVERAGE(Q5:Q14)</f>
        <v>8.7</v>
      </c>
      <c r="R16" s="52" t="n">
        <f aca="false">AVERAGE(R5:R14)</f>
        <v>8.78</v>
      </c>
      <c r="S16" s="52" t="n">
        <f aca="false">AVERAGE(S5:S14)</f>
        <v>8.85</v>
      </c>
      <c r="T16" s="52" t="n">
        <f aca="false">AVERAGE(T5:T14)</f>
        <v>8.91</v>
      </c>
      <c r="U16" s="52" t="n">
        <f aca="false">AVERAGE(U5:U14)</f>
        <v>8.94</v>
      </c>
      <c r="V16" s="52" t="n">
        <f aca="false">AVERAGE(V5:V14)</f>
        <v>9.04</v>
      </c>
      <c r="W16" s="52" t="n">
        <f aca="false">AVERAGE(W5:W14)</f>
        <v>9.07</v>
      </c>
    </row>
    <row r="17" customFormat="false" ht="15" hidden="false" customHeight="false" outlineLevel="0" collapsed="false">
      <c r="B17" s="53" t="s">
        <v>192</v>
      </c>
      <c r="C17" s="54" t="n">
        <f aca="false">MIN(C5:C14)</f>
        <v>2.1</v>
      </c>
      <c r="D17" s="54" t="n">
        <f aca="false">MIN(D5:D14)</f>
        <v>3.5</v>
      </c>
      <c r="E17" s="54" t="n">
        <f aca="false">MIN(E5:E14)</f>
        <v>3.8</v>
      </c>
      <c r="F17" s="54" t="n">
        <f aca="false">MIN(F5:F14)</f>
        <v>4</v>
      </c>
      <c r="G17" s="54" t="n">
        <f aca="false">MIN(G5:G14)</f>
        <v>4.2</v>
      </c>
      <c r="H17" s="54" t="n">
        <f aca="false">MIN(H5:H14)</f>
        <v>4.2</v>
      </c>
      <c r="I17" s="54" t="n">
        <f aca="false">MIN(I5:I14)</f>
        <v>4.5</v>
      </c>
      <c r="J17" s="54" t="n">
        <f aca="false">MIN(J5:J14)</f>
        <v>5.5</v>
      </c>
      <c r="K17" s="54" t="n">
        <f aca="false">MIN(K5:K14)</f>
        <v>6.5</v>
      </c>
      <c r="L17" s="54" t="n">
        <f aca="false">MIN(L5:L14)</f>
        <v>6.8</v>
      </c>
      <c r="M17" s="54" t="n">
        <f aca="false">MIN(M5:M14)</f>
        <v>7</v>
      </c>
      <c r="N17" s="54" t="n">
        <f aca="false">MIN(N5:N14)</f>
        <v>7</v>
      </c>
      <c r="O17" s="54" t="n">
        <f aca="false">MIN(O5:O14)</f>
        <v>7.3</v>
      </c>
      <c r="P17" s="54" t="n">
        <f aca="false">MIN(P5:P14)</f>
        <v>7.5</v>
      </c>
      <c r="Q17" s="54" t="n">
        <f aca="false">MIN(Q5:Q14)</f>
        <v>7.5</v>
      </c>
      <c r="R17" s="54" t="n">
        <f aca="false">MIN(R5:R14)</f>
        <v>7.5</v>
      </c>
      <c r="S17" s="54" t="n">
        <f aca="false">MIN(S5:S14)</f>
        <v>8</v>
      </c>
      <c r="T17" s="54" t="n">
        <f aca="false">MIN(T5:T14)</f>
        <v>8.5</v>
      </c>
      <c r="U17" s="54" t="n">
        <f aca="false">MIN(U5:U14)</f>
        <v>8.5</v>
      </c>
      <c r="V17" s="54" t="n">
        <f aca="false">MIN(V5:V14)</f>
        <v>8.8</v>
      </c>
      <c r="W17" s="54" t="n">
        <f aca="false">MIN(W5:W14)</f>
        <v>9</v>
      </c>
    </row>
    <row r="19" customFormat="false" ht="15" hidden="false" customHeight="false" outlineLevel="0" collapsed="false">
      <c r="B19" s="55" t="s">
        <v>193</v>
      </c>
    </row>
    <row r="20" customFormat="false" ht="15" hidden="false" customHeight="true" outlineLevel="0" collapsed="false">
      <c r="B20" s="4" t="s">
        <v>194</v>
      </c>
      <c r="C20" s="56" t="s">
        <v>195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</row>
    <row r="21" customFormat="false" ht="15" hidden="false" customHeight="true" outlineLevel="0" collapsed="false">
      <c r="B21" s="4" t="s">
        <v>196</v>
      </c>
      <c r="C21" s="56" t="s">
        <v>197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</row>
    <row r="22" customFormat="false" ht="15" hidden="false" customHeight="true" outlineLevel="0" collapsed="false">
      <c r="B22" s="4" t="s">
        <v>198</v>
      </c>
      <c r="C22" s="56" t="s">
        <v>199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</row>
    <row r="23" customFormat="false" ht="15" hidden="false" customHeight="true" outlineLevel="0" collapsed="false">
      <c r="B23" s="4" t="s">
        <v>200</v>
      </c>
      <c r="C23" s="56" t="s">
        <v>201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</row>
  </sheetData>
  <mergeCells count="5">
    <mergeCell ref="B1:V1"/>
    <mergeCell ref="C20:V20"/>
    <mergeCell ref="C21:V21"/>
    <mergeCell ref="C22:V22"/>
    <mergeCell ref="C23:V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B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50"/>
    <col collapsed="false" customWidth="true" hidden="false" outlineLevel="0" max="6" min="6" style="0" width="30"/>
  </cols>
  <sheetData>
    <row r="1" customFormat="false" ht="17.35" hidden="false" customHeight="false" outlineLevel="0" collapsed="false">
      <c r="B1" s="16" t="s">
        <v>202</v>
      </c>
      <c r="C1" s="16"/>
      <c r="D1" s="16"/>
      <c r="E1" s="16"/>
      <c r="F1" s="16"/>
    </row>
    <row r="3" customFormat="false" ht="15" hidden="false" customHeight="false" outlineLevel="0" collapsed="false">
      <c r="B3" s="3" t="s">
        <v>81</v>
      </c>
      <c r="C3" s="3" t="s">
        <v>82</v>
      </c>
      <c r="D3" s="3" t="s">
        <v>84</v>
      </c>
      <c r="E3" s="3" t="s">
        <v>203</v>
      </c>
      <c r="F3" s="3" t="s">
        <v>204</v>
      </c>
    </row>
    <row r="4" customFormat="false" ht="23.85" hidden="false" customHeight="false" outlineLevel="0" collapsed="false">
      <c r="B4" s="4" t="s">
        <v>59</v>
      </c>
      <c r="C4" s="57" t="s">
        <v>88</v>
      </c>
      <c r="D4" s="31" t="s">
        <v>90</v>
      </c>
      <c r="E4" s="8" t="s">
        <v>205</v>
      </c>
      <c r="F4" s="8" t="s">
        <v>206</v>
      </c>
    </row>
    <row r="5" customFormat="false" ht="15" hidden="false" customHeight="false" outlineLevel="0" collapsed="false">
      <c r="B5" s="4" t="s">
        <v>60</v>
      </c>
      <c r="C5" s="57" t="s">
        <v>94</v>
      </c>
      <c r="D5" s="33" t="s">
        <v>95</v>
      </c>
      <c r="E5" s="8" t="s">
        <v>207</v>
      </c>
      <c r="F5" s="8" t="s">
        <v>208</v>
      </c>
    </row>
    <row r="6" customFormat="false" ht="15" hidden="false" customHeight="false" outlineLevel="0" collapsed="false">
      <c r="B6" s="4" t="s">
        <v>61</v>
      </c>
      <c r="C6" s="57" t="s">
        <v>94</v>
      </c>
      <c r="D6" s="33" t="s">
        <v>95</v>
      </c>
      <c r="E6" s="8" t="s">
        <v>209</v>
      </c>
      <c r="F6" s="8" t="s">
        <v>208</v>
      </c>
    </row>
    <row r="7" customFormat="false" ht="15" hidden="false" customHeight="false" outlineLevel="0" collapsed="false">
      <c r="B7" s="4" t="s">
        <v>64</v>
      </c>
      <c r="C7" s="57" t="s">
        <v>103</v>
      </c>
      <c r="D7" s="33" t="s">
        <v>95</v>
      </c>
      <c r="E7" s="8" t="s">
        <v>210</v>
      </c>
      <c r="F7" s="8" t="s">
        <v>208</v>
      </c>
    </row>
    <row r="8" customFormat="false" ht="15" hidden="false" customHeight="false" outlineLevel="0" collapsed="false">
      <c r="B8" s="4" t="s">
        <v>67</v>
      </c>
      <c r="C8" s="57" t="s">
        <v>103</v>
      </c>
      <c r="D8" s="33" t="s">
        <v>95</v>
      </c>
      <c r="E8" s="8" t="s">
        <v>211</v>
      </c>
      <c r="F8" s="8" t="s">
        <v>208</v>
      </c>
    </row>
    <row r="9" customFormat="false" ht="15" hidden="false" customHeight="false" outlineLevel="0" collapsed="false">
      <c r="B9" s="4" t="s">
        <v>65</v>
      </c>
      <c r="C9" s="57" t="s">
        <v>110</v>
      </c>
      <c r="D9" s="31" t="s">
        <v>90</v>
      </c>
      <c r="E9" s="8" t="s">
        <v>212</v>
      </c>
      <c r="F9" s="8" t="s">
        <v>213</v>
      </c>
    </row>
    <row r="10" customFormat="false" ht="15" hidden="false" customHeight="false" outlineLevel="0" collapsed="false">
      <c r="B10" s="4" t="s">
        <v>62</v>
      </c>
      <c r="C10" s="57" t="s">
        <v>94</v>
      </c>
      <c r="D10" s="33" t="s">
        <v>95</v>
      </c>
      <c r="E10" s="8" t="s">
        <v>214</v>
      </c>
      <c r="F10" s="8" t="s">
        <v>215</v>
      </c>
    </row>
    <row r="11" customFormat="false" ht="15" hidden="false" customHeight="false" outlineLevel="0" collapsed="false">
      <c r="B11" s="4" t="s">
        <v>63</v>
      </c>
      <c r="C11" s="57" t="s">
        <v>110</v>
      </c>
      <c r="D11" s="31" t="s">
        <v>90</v>
      </c>
      <c r="E11" s="8" t="s">
        <v>216</v>
      </c>
      <c r="F11" s="8" t="s">
        <v>217</v>
      </c>
    </row>
    <row r="12" customFormat="false" ht="15" hidden="false" customHeight="false" outlineLevel="0" collapsed="false">
      <c r="B12" s="4" t="s">
        <v>66</v>
      </c>
      <c r="C12" s="57" t="s">
        <v>94</v>
      </c>
      <c r="D12" s="31" t="s">
        <v>90</v>
      </c>
      <c r="E12" s="8" t="s">
        <v>218</v>
      </c>
      <c r="F12" s="8" t="s">
        <v>219</v>
      </c>
    </row>
    <row r="13" customFormat="false" ht="15" hidden="false" customHeight="false" outlineLevel="0" collapsed="false">
      <c r="B13" s="4" t="s">
        <v>77</v>
      </c>
      <c r="C13" s="57" t="s">
        <v>94</v>
      </c>
      <c r="D13" s="33" t="s">
        <v>95</v>
      </c>
      <c r="E13" s="8" t="s">
        <v>220</v>
      </c>
      <c r="F13" s="8" t="s">
        <v>208</v>
      </c>
    </row>
    <row r="14" customFormat="false" ht="15" hidden="false" customHeight="false" outlineLevel="0" collapsed="false">
      <c r="B14" s="4" t="s">
        <v>76</v>
      </c>
      <c r="C14" s="57" t="s">
        <v>94</v>
      </c>
      <c r="D14" s="33" t="s">
        <v>95</v>
      </c>
      <c r="E14" s="8" t="s">
        <v>221</v>
      </c>
      <c r="F14" s="8" t="s">
        <v>222</v>
      </c>
    </row>
    <row r="15" customFormat="false" ht="15" hidden="false" customHeight="false" outlineLevel="0" collapsed="false">
      <c r="B15" s="4" t="s">
        <v>74</v>
      </c>
      <c r="C15" s="57" t="s">
        <v>103</v>
      </c>
      <c r="D15" s="33" t="s">
        <v>95</v>
      </c>
      <c r="E15" s="8" t="s">
        <v>223</v>
      </c>
      <c r="F15" s="8" t="s">
        <v>208</v>
      </c>
    </row>
    <row r="16" customFormat="false" ht="15" hidden="false" customHeight="false" outlineLevel="0" collapsed="false">
      <c r="B16" s="4" t="s">
        <v>68</v>
      </c>
      <c r="C16" s="57" t="s">
        <v>94</v>
      </c>
      <c r="D16" s="33" t="s">
        <v>95</v>
      </c>
      <c r="E16" s="8" t="s">
        <v>224</v>
      </c>
      <c r="F16" s="8" t="s">
        <v>208</v>
      </c>
    </row>
    <row r="17" customFormat="false" ht="15" hidden="false" customHeight="false" outlineLevel="0" collapsed="false">
      <c r="B17" s="4" t="s">
        <v>225</v>
      </c>
      <c r="C17" s="57" t="s">
        <v>94</v>
      </c>
      <c r="D17" s="42" t="s">
        <v>130</v>
      </c>
      <c r="E17" s="8" t="s">
        <v>226</v>
      </c>
      <c r="F17" s="8" t="s">
        <v>227</v>
      </c>
    </row>
    <row r="18" customFormat="false" ht="15" hidden="false" customHeight="false" outlineLevel="0" collapsed="false">
      <c r="B18" s="4" t="s">
        <v>73</v>
      </c>
      <c r="C18" s="57" t="s">
        <v>103</v>
      </c>
      <c r="D18" s="33" t="s">
        <v>95</v>
      </c>
      <c r="E18" s="8" t="s">
        <v>228</v>
      </c>
      <c r="F18" s="8" t="s">
        <v>208</v>
      </c>
    </row>
    <row r="19" customFormat="false" ht="15" hidden="false" customHeight="false" outlineLevel="0" collapsed="false">
      <c r="B19" s="4" t="s">
        <v>70</v>
      </c>
      <c r="C19" s="57" t="s">
        <v>103</v>
      </c>
      <c r="D19" s="33" t="s">
        <v>95</v>
      </c>
      <c r="E19" s="8" t="s">
        <v>229</v>
      </c>
      <c r="F19" s="8" t="s">
        <v>208</v>
      </c>
    </row>
    <row r="20" customFormat="false" ht="15" hidden="false" customHeight="false" outlineLevel="0" collapsed="false">
      <c r="B20" s="4" t="s">
        <v>78</v>
      </c>
      <c r="C20" s="57" t="s">
        <v>94</v>
      </c>
      <c r="D20" s="33" t="s">
        <v>95</v>
      </c>
      <c r="E20" s="8" t="s">
        <v>230</v>
      </c>
      <c r="F20" s="8" t="s">
        <v>208</v>
      </c>
    </row>
    <row r="21" customFormat="false" ht="15" hidden="false" customHeight="false" outlineLevel="0" collapsed="false">
      <c r="B21" s="4" t="s">
        <v>231</v>
      </c>
      <c r="C21" s="57" t="s">
        <v>94</v>
      </c>
      <c r="D21" s="31" t="s">
        <v>90</v>
      </c>
      <c r="E21" s="8" t="s">
        <v>232</v>
      </c>
      <c r="F21" s="8" t="s">
        <v>233</v>
      </c>
    </row>
    <row r="22" customFormat="false" ht="15" hidden="false" customHeight="false" outlineLevel="0" collapsed="false">
      <c r="B22" s="4" t="s">
        <v>234</v>
      </c>
      <c r="C22" s="57" t="s">
        <v>94</v>
      </c>
      <c r="D22" s="33" t="s">
        <v>95</v>
      </c>
      <c r="E22" s="8" t="s">
        <v>235</v>
      </c>
      <c r="F22" s="8" t="s">
        <v>236</v>
      </c>
    </row>
    <row r="23" customFormat="false" ht="15" hidden="false" customHeight="false" outlineLevel="0" collapsed="false">
      <c r="B23" s="4" t="s">
        <v>75</v>
      </c>
      <c r="C23" s="57" t="s">
        <v>103</v>
      </c>
      <c r="D23" s="33" t="s">
        <v>95</v>
      </c>
      <c r="E23" s="8" t="s">
        <v>237</v>
      </c>
      <c r="F23" s="8" t="s">
        <v>208</v>
      </c>
    </row>
    <row r="25" customFormat="false" ht="17.35" hidden="false" customHeight="false" outlineLevel="0" collapsed="false">
      <c r="B25" s="58" t="s">
        <v>238</v>
      </c>
    </row>
    <row r="26" customFormat="false" ht="15" hidden="false" customHeight="false" outlineLevel="0" collapsed="false">
      <c r="B26" s="55" t="s">
        <v>239</v>
      </c>
      <c r="C26" s="59" t="s">
        <v>240</v>
      </c>
    </row>
    <row r="27" customFormat="false" ht="15" hidden="false" customHeight="false" outlineLevel="0" collapsed="false">
      <c r="B27" s="55" t="s">
        <v>241</v>
      </c>
      <c r="C27" s="60" t="s">
        <v>242</v>
      </c>
    </row>
    <row r="28" customFormat="false" ht="15" hidden="false" customHeight="false" outlineLevel="0" collapsed="false">
      <c r="B28" s="55" t="s">
        <v>243</v>
      </c>
      <c r="C28" s="61" t="s">
        <v>244</v>
      </c>
    </row>
    <row r="30" customFormat="false" ht="15" hidden="false" customHeight="false" outlineLevel="0" collapsed="false">
      <c r="B30" s="55" t="s">
        <v>245</v>
      </c>
      <c r="C30" s="62" t="s">
        <v>246</v>
      </c>
    </row>
    <row r="31" customFormat="false" ht="15" hidden="false" customHeight="false" outlineLevel="0" collapsed="false">
      <c r="B31" s="55" t="s">
        <v>247</v>
      </c>
      <c r="C31" s="63" t="s">
        <v>248</v>
      </c>
    </row>
  </sheetData>
  <mergeCells count="1">
    <mergeCell ref="B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800"/>
    <pageSetUpPr fitToPage="false"/>
  </sheetPr>
  <dimension ref="B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4" min="3" style="0" width="40"/>
    <col collapsed="false" customWidth="true" hidden="false" outlineLevel="0" max="5" min="5" style="0" width="15"/>
    <col collapsed="false" customWidth="true" hidden="false" outlineLevel="0" max="6" min="6" style="0" width="20"/>
  </cols>
  <sheetData>
    <row r="1" customFormat="false" ht="17.35" hidden="false" customHeight="false" outlineLevel="0" collapsed="false">
      <c r="B1" s="16" t="s">
        <v>249</v>
      </c>
      <c r="C1" s="16"/>
      <c r="D1" s="16"/>
      <c r="E1" s="16"/>
      <c r="F1" s="16"/>
    </row>
    <row r="3" customFormat="false" ht="26.85" hidden="false" customHeight="false" outlineLevel="0" collapsed="false">
      <c r="B3" s="3" t="s">
        <v>2</v>
      </c>
      <c r="C3" s="3" t="s">
        <v>250</v>
      </c>
      <c r="D3" s="3" t="s">
        <v>251</v>
      </c>
      <c r="E3" s="3" t="s">
        <v>252</v>
      </c>
      <c r="F3" s="3" t="s">
        <v>253</v>
      </c>
    </row>
    <row r="4" customFormat="false" ht="15" hidden="false" customHeight="false" outlineLevel="0" collapsed="false">
      <c r="B4" s="4" t="s">
        <v>8</v>
      </c>
      <c r="C4" s="8" t="s">
        <v>254</v>
      </c>
      <c r="D4" s="8" t="s">
        <v>255</v>
      </c>
      <c r="E4" s="25" t="s">
        <v>256</v>
      </c>
      <c r="F4" s="28" t="s">
        <v>112</v>
      </c>
    </row>
    <row r="5" customFormat="false" ht="15" hidden="false" customHeight="false" outlineLevel="0" collapsed="false">
      <c r="B5" s="4" t="s">
        <v>189</v>
      </c>
      <c r="C5" s="8" t="s">
        <v>257</v>
      </c>
      <c r="D5" s="8" t="s">
        <v>258</v>
      </c>
      <c r="E5" s="25" t="s">
        <v>259</v>
      </c>
      <c r="F5" s="28" t="s">
        <v>139</v>
      </c>
    </row>
    <row r="6" customFormat="false" ht="23.85" hidden="false" customHeight="false" outlineLevel="0" collapsed="false">
      <c r="B6" s="4" t="s">
        <v>15</v>
      </c>
      <c r="C6" s="8" t="s">
        <v>260</v>
      </c>
      <c r="D6" s="8" t="s">
        <v>261</v>
      </c>
      <c r="E6" s="25" t="s">
        <v>262</v>
      </c>
      <c r="F6" s="28" t="s">
        <v>132</v>
      </c>
    </row>
    <row r="7" customFormat="false" ht="15" hidden="false" customHeight="false" outlineLevel="0" collapsed="false">
      <c r="B7" s="4" t="s">
        <v>19</v>
      </c>
      <c r="C7" s="8" t="s">
        <v>263</v>
      </c>
      <c r="D7" s="8" t="s">
        <v>264</v>
      </c>
      <c r="E7" s="25" t="s">
        <v>265</v>
      </c>
      <c r="F7" s="28" t="s">
        <v>139</v>
      </c>
    </row>
    <row r="8" customFormat="false" ht="15" hidden="false" customHeight="false" outlineLevel="0" collapsed="false">
      <c r="B8" s="4" t="s">
        <v>22</v>
      </c>
      <c r="C8" s="8" t="s">
        <v>266</v>
      </c>
      <c r="D8" s="8" t="s">
        <v>267</v>
      </c>
      <c r="E8" s="25" t="s">
        <v>268</v>
      </c>
      <c r="F8" s="28" t="s">
        <v>127</v>
      </c>
    </row>
    <row r="9" customFormat="false" ht="15" hidden="false" customHeight="false" outlineLevel="0" collapsed="false">
      <c r="B9" s="4" t="s">
        <v>25</v>
      </c>
      <c r="C9" s="8" t="s">
        <v>269</v>
      </c>
      <c r="D9" s="8" t="s">
        <v>270</v>
      </c>
      <c r="E9" s="25" t="s">
        <v>271</v>
      </c>
      <c r="F9" s="28" t="s">
        <v>132</v>
      </c>
    </row>
    <row r="10" customFormat="false" ht="15" hidden="false" customHeight="false" outlineLevel="0" collapsed="false">
      <c r="B10" s="4" t="s">
        <v>28</v>
      </c>
      <c r="C10" s="8" t="s">
        <v>272</v>
      </c>
      <c r="D10" s="8" t="s">
        <v>267</v>
      </c>
      <c r="E10" s="25" t="s">
        <v>273</v>
      </c>
      <c r="F10" s="28" t="s">
        <v>127</v>
      </c>
    </row>
    <row r="11" customFormat="false" ht="15" hidden="false" customHeight="false" outlineLevel="0" collapsed="false">
      <c r="B11" s="4" t="s">
        <v>31</v>
      </c>
      <c r="C11" s="8" t="s">
        <v>274</v>
      </c>
      <c r="D11" s="8" t="s">
        <v>275</v>
      </c>
      <c r="E11" s="25" t="s">
        <v>276</v>
      </c>
      <c r="F11" s="28" t="s">
        <v>142</v>
      </c>
    </row>
    <row r="12" customFormat="false" ht="15" hidden="false" customHeight="false" outlineLevel="0" collapsed="false">
      <c r="B12" s="4" t="s">
        <v>34</v>
      </c>
      <c r="C12" s="8" t="s">
        <v>277</v>
      </c>
      <c r="D12" s="8" t="s">
        <v>278</v>
      </c>
      <c r="E12" s="25" t="s">
        <v>279</v>
      </c>
      <c r="F12" s="28" t="s">
        <v>142</v>
      </c>
    </row>
    <row r="13" customFormat="false" ht="23.85" hidden="false" customHeight="false" outlineLevel="0" collapsed="false">
      <c r="B13" s="4" t="s">
        <v>38</v>
      </c>
      <c r="C13" s="8" t="s">
        <v>280</v>
      </c>
      <c r="D13" s="8" t="s">
        <v>281</v>
      </c>
      <c r="E13" s="25" t="s">
        <v>282</v>
      </c>
      <c r="F13" s="28" t="s">
        <v>142</v>
      </c>
    </row>
  </sheetData>
  <mergeCells count="1">
    <mergeCell ref="B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2026-03-29T22:16:30Z</dcterms:created>
  <dc:creator>openpyxl</dc:creator>
  <dc:description/>
  <dc:language>en-US</dc:language>
  <cp:lastModifiedBy/>
  <dcterms:modified xsi:type="dcterms:W3CDTF">2026-03-29T22:16:30Z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