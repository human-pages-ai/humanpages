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Juror Earnings" sheetId="3" state="visible" r:id="rId5"/>
    <sheet name="Pool Growth" sheetId="4" state="visible" r:id="rId6"/>
    <sheet name="Risk Mitigation" sheetId="5" state="visible" r:id="rId7"/>
    <sheet name="Success Metr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<sst xmlns="http://schemas.openxmlformats.org/spreadsheetml/2006/main" count="173" uniqueCount="151">
  <si>
    <t xml:space="preserve">JURY INCENTIVE MODEL: ASSUMPTIONS</t>
  </si>
  <si>
    <t xml:space="preserve">PLATFORM GROWTH</t>
  </si>
  <si>
    <t xml:space="preserve">Jobs per month (baseline)</t>
  </si>
  <si>
    <t xml:space="preserve">Jobs per month (Year 2)</t>
  </si>
  <si>
    <t xml:space="preserve">Jobs per month (Year 3)</t>
  </si>
  <si>
    <t xml:space="preserve">Dispute rate (%)</t>
  </si>
  <si>
    <t xml:space="preserve">Avg escrow per job ($)</t>
  </si>
  <si>
    <t xml:space="preserve">JURY ECONOMICS</t>
  </si>
  <si>
    <t xml:space="preserve">Avg jurors per case</t>
  </si>
  <si>
    <t xml:space="preserve">Certified tier (% of jury pool)</t>
  </si>
  <si>
    <t xml:space="preserve">Senior tier (% of jury pool)</t>
  </si>
  <si>
    <t xml:space="preserve">Arbitrum tier (% of jury pool)</t>
  </si>
  <si>
    <t xml:space="preserve">Consensus rate (%)</t>
  </si>
  <si>
    <t xml:space="preserve">Appeal rate (%)</t>
  </si>
  <si>
    <t xml:space="preserve">Appeal overturn rate (%)</t>
  </si>
  <si>
    <t xml:space="preserve">JUROR FEES BY TIER</t>
  </si>
  <si>
    <t xml:space="preserve">Tier</t>
  </si>
  <si>
    <t xml:space="preserve">Base Fee ($)</t>
  </si>
  <si>
    <t xml:space="preserve">Escrow % (mid-range)</t>
  </si>
  <si>
    <t xml:space="preserve">Avg Case ($)</t>
  </si>
  <si>
    <t xml:space="preserve">Certified</t>
  </si>
  <si>
    <t xml:space="preserve">Senior</t>
  </si>
  <si>
    <t xml:space="preserve">Arbitrum</t>
  </si>
  <si>
    <t xml:space="preserve">REVENUE ALLOCATION</t>
  </si>
  <si>
    <t xml:space="preserve">Loser pays juror fees (%)</t>
  </si>
  <si>
    <t xml:space="preserve">Appeal fund (% of escrow)</t>
  </si>
  <si>
    <t xml:space="preserve">HP protocol fee (% of escrow)</t>
  </si>
  <si>
    <t xml:space="preserve">HP share of appeal fund (%)</t>
  </si>
  <si>
    <t xml:space="preserve">Juror consensus bonus (%)</t>
  </si>
  <si>
    <t xml:space="preserve">JURY SYSTEM: MONTHLY P&amp;L</t>
  </si>
  <si>
    <t xml:space="preserve">Month</t>
  </si>
  <si>
    <t xml:space="preserve">Jobs Posted</t>
  </si>
  <si>
    <t xml:space="preserve">Total Escrow</t>
  </si>
  <si>
    <t xml:space="preserve">Disputes (#)</t>
  </si>
  <si>
    <t xml:space="preserve">Cases to Jury</t>
  </si>
  <si>
    <t xml:space="preserve">Juror Assignments</t>
  </si>
  <si>
    <t xml:space="preserve">Juror Fees (Paid)</t>
  </si>
  <si>
    <t xml:space="preserve">Appeal Fund (2%)</t>
  </si>
  <si>
    <t xml:space="preserve">HP Protocol (1%)</t>
  </si>
  <si>
    <t xml:space="preserve">Appeals Filed</t>
  </si>
  <si>
    <t xml:space="preserve">Appeals Granted</t>
  </si>
  <si>
    <t xml:space="preserve">HP Appeal Revenue</t>
  </si>
  <si>
    <t xml:space="preserve">HP Total Revenue</t>
  </si>
  <si>
    <t xml:space="preserve">Net Monthly Cost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</si>
  <si>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</si>
  <si>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</si>
  <si>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</si>
  <si>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</si>
  <si>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</si>
  <si>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</si>
  <si>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</si>
  <si>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</si>
  <si>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</si>
  <si>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</si>
  <si>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</si>
  <si>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</si>
  <si>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YEAR 1 TOTALS</t>
  </si>
  <si>
    <t xml:space="preserve">JUROR EARNING SCENARIOS (Annual)</t>
  </si>
  <si>
    <t xml:space="preserve">Cases/Month</t>
  </si>
  <si>
    <t xml:space="preserve">Avg Case Escrow</t>
  </si>
  <si>
    <t xml:space="preserve">Base Fee per Case</t>
  </si>
  <si>
    <t xml:space="preserve">Consensus Bonus (50%)</t>
  </si>
  <si>
    <t xml:space="preserve">Annual Earnings</t>
  </si>
  <si>
    <t xml:space="preserve">Certified - Light</t>
  </si>
  <si>
    <t xml:space="preserve">Certified - Medium</t>
  </si>
  <si>
    <t xml:space="preserve">Certified - Heavy</t>
  </si>
  <si>
    <t xml:space="preserve">Senior - Light</t>
  </si>
  <si>
    <t xml:space="preserve">Senior - Medium</t>
  </si>
  <si>
    <t xml:space="preserve">Arbitrum - Medium</t>
  </si>
  <si>
    <t xml:space="preserve">JURY KARMA VALUATION</t>
  </si>
  <si>
    <t xml:space="preserve">Jury Karma points earned per case</t>
  </si>
  <si>
    <t xml:space="preserve">Estimated platform value per JK point</t>
  </si>
  <si>
    <t xml:space="preserve">Annual JK earned (at 48 cases/year)</t>
  </si>
  <si>
    <t xml:space="preserve">Imputed annual value from JK</t>
  </si>
  <si>
    <t xml:space="preserve">JURY POOL GROWTH PROJECTION (3 YEARS)</t>
  </si>
  <si>
    <t xml:space="preserve">Year</t>
  </si>
  <si>
    <t xml:space="preserve">Jobs/Month</t>
  </si>
  <si>
    <t xml:space="preserve">Disputes/Month</t>
  </si>
  <si>
    <t xml:space="preserve">Jury Assignments/Mo</t>
  </si>
  <si>
    <t xml:space="preserve">Pool Size (Certified+)</t>
  </si>
  <si>
    <t xml:space="preserve">Utilization Rate</t>
  </si>
  <si>
    <t xml:space="preserve">Avg Cases/Juror</t>
  </si>
  <si>
    <t xml:space="preserve">Year 1</t>
  </si>
  <si>
    <t xml:space="preserve">Year 2</t>
  </si>
  <si>
    <t xml:space="preserve">Year 3</t>
  </si>
  <si>
    <t xml:space="preserve">JURY SYSTEM: RISK &amp; MITIGATION</t>
  </si>
  <si>
    <t xml:space="preserve">RISK</t>
  </si>
  <si>
    <t xml:space="preserve">PROBABILITY</t>
  </si>
  <si>
    <t xml:space="preserve">ANNUAL IMPACT</t>
  </si>
  <si>
    <t xml:space="preserve">MITIGATION</t>
  </si>
  <si>
    <t xml:space="preserve">COST</t>
  </si>
  <si>
    <t xml:space="preserve">Collusion (2 agents split jury fee)</t>
  </si>
  <si>
    <t xml:space="preserve">Low (2%)</t>
  </si>
  <si>
    <t xml:space="preserve">$5,000</t>
  </si>
  <si>
    <t xml:space="preserve">USDC flow monitoring + pattern detection</t>
  </si>
  <si>
    <t xml:space="preserve">$500</t>
  </si>
  <si>
    <t xml:space="preserve">Appeal spam (wealthy agents)</t>
  </si>
  <si>
    <t xml:space="preserve">Medium (5%)</t>
  </si>
  <si>
    <t xml:space="preserve">$10,000</t>
  </si>
  <si>
    <t xml:space="preserve">Fee escalation + appeal rate limits</t>
  </si>
  <si>
    <t xml:space="preserve">$200</t>
  </si>
  <si>
    <t xml:space="preserve">Juror burnout (overload)</t>
  </si>
  <si>
    <t xml:space="preserve">Low (3%)</t>
  </si>
  <si>
    <t xml:space="preserve">$3,000</t>
  </si>
  <si>
    <t xml:space="preserve">Case cap + sabbatical option</t>
  </si>
  <si>
    <t xml:space="preserve">Internal</t>
  </si>
  <si>
    <t xml:space="preserve">Tier gaming (dummy jobs)</t>
  </si>
  <si>
    <t xml:space="preserve">Low (1%)</t>
  </si>
  <si>
    <t xml:space="preserve">$2,000</t>
  </si>
  <si>
    <t xml:space="preserve">Job density limits + analyst review</t>
  </si>
  <si>
    <t xml:space="preserve">Juror consensus failure (all wrong)</t>
  </si>
  <si>
    <t xml:space="preserve">Very Low (1%)</t>
  </si>
  <si>
    <t xml:space="preserve">$1,000</t>
  </si>
  <si>
    <t xml:space="preserve">Appeal mechanism + senior review</t>
  </si>
  <si>
    <t xml:space="preserve">$100</t>
  </si>
  <si>
    <t xml:space="preserve">JURY SYSTEM: SUCCESS METRICS DASHBOARD</t>
  </si>
  <si>
    <t xml:space="preserve">METRIC</t>
  </si>
  <si>
    <t xml:space="preserve">BASELINE</t>
  </si>
  <si>
    <t xml:space="preserve">TARGET (YEAR 1)</t>
  </si>
  <si>
    <t xml:space="preserve">TARGET (YEAR 2)</t>
  </si>
  <si>
    <t xml:space="preserve">MONITORING</t>
  </si>
  <si>
    <t xml:space="preserve">Jury pool size</t>
  </si>
  <si>
    <t xml:space="preserve">0</t>
  </si>
  <si>
    <t xml:space="preserve">100</t>
  </si>
  <si>
    <t xml:space="preserve">200</t>
  </si>
  <si>
    <t xml:space="preserve">Weekly</t>
  </si>
  <si>
    <t xml:space="preserve">Verdict consensus rate (%)</t>
  </si>
  <si>
    <t xml:space="preserve">-</t>
  </si>
  <si>
    <t xml:space="preserve">75%</t>
  </si>
  <si>
    <t xml:space="preserve">80%</t>
  </si>
  <si>
    <t xml:space="preserve">Monthly</t>
  </si>
  <si>
    <t xml:space="preserve">4%</t>
  </si>
  <si>
    <t xml:space="preserve">3%</t>
  </si>
  <si>
    <t xml:space="preserve">&lt;5%</t>
  </si>
  <si>
    <t xml:space="preserve">&lt;3%</t>
  </si>
  <si>
    <t xml:space="preserve">Juror retention (QoQ %)</t>
  </si>
  <si>
    <t xml:space="preserve">85%</t>
  </si>
  <si>
    <t xml:space="preserve">Quarterly</t>
  </si>
  <si>
    <t xml:space="preserve">Avg juror earnings/case ($)</t>
  </si>
  <si>
    <t xml:space="preserve">$25</t>
  </si>
  <si>
    <t xml:space="preserve">$30</t>
  </si>
  <si>
    <t xml:space="preserve">Client satisfaction (%)</t>
  </si>
  <si>
    <t xml:space="preserve">90%</t>
  </si>
  <si>
    <t xml:space="preserve">Per case</t>
  </si>
  <si>
    <t xml:space="preserve">Worker satisfaction (%)</t>
  </si>
  <si>
    <t xml:space="preserve">Time to verdict (hours)</t>
  </si>
  <si>
    <t xml:space="preserve">48</t>
  </si>
  <si>
    <t xml:space="preserve">36</t>
  </si>
  <si>
    <t xml:space="preserve">HP revenue per dispute ($)</t>
  </si>
  <si>
    <t xml:space="preserve">$10</t>
  </si>
  <si>
    <t xml:space="preserve">$12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</si>
</sst>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"/>
    <numFmt numFmtId="167" formatCode="0%"/>
    <numFmt numFmtId="168" formatCode="0.0%"/>
    <numFmt numFmtId="169" formatCode="\$#,##0"/>
    <numFmt numFmtId="170" formatCode="\$#,##0"/>
    <numFmt numFmtId="171" formatCode="\$#,##0.00"/>
    <numFmt numFmtId="172" formatCode="\$0.00"/>
    <numFmt numFmtId="173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4" min="3" style="1" width="2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1" t="s">
        <v>2</v>
      </c>
      <c r="B4" s="4" t="n">
        <v>1000</v>
      </c>
    </row>
    <row r="5" customFormat="false" ht="15" hidden="false" customHeight="true" outlineLevel="0" collapsed="false">
      <c r="A5" s="1" t="s">
        <v>3</v>
      </c>
      <c r="B5" s="4" t="n">
        <v>2500</v>
      </c>
    </row>
    <row r="6" customFormat="false" ht="15" hidden="false" customHeight="true" outlineLevel="0" collapsed="false">
      <c r="A6" s="1" t="s">
        <v>4</v>
      </c>
      <c r="B6" s="4" t="n">
        <v>5000</v>
      </c>
    </row>
    <row r="7" customFormat="false" ht="15" hidden="false" customHeight="true" outlineLevel="0" collapsed="false">
      <c r="A7" s="1" t="s">
        <v>5</v>
      </c>
      <c r="B7" s="5" t="n">
        <v>5</v>
      </c>
    </row>
    <row r="8" customFormat="false" ht="15" hidden="false" customHeight="true" outlineLevel="0" collapsed="false">
      <c r="A8" s="1" t="s">
        <v>6</v>
      </c>
      <c r="B8" s="4" t="n">
        <v>1000</v>
      </c>
    </row>
    <row r="10" customFormat="false" ht="15" hidden="false" customHeight="true" outlineLevel="0" collapsed="false">
      <c r="A10" s="3" t="s">
        <v>7</v>
      </c>
      <c r="B10" s="3"/>
      <c r="C10" s="3"/>
      <c r="D10" s="3"/>
    </row>
    <row r="11" customFormat="false" ht="15" hidden="false" customHeight="true" outlineLevel="0" collapsed="false">
      <c r="A11" s="1" t="s">
        <v>8</v>
      </c>
      <c r="B11" s="4" t="n">
        <v>3</v>
      </c>
    </row>
    <row r="12" customFormat="false" ht="15" hidden="false" customHeight="true" outlineLevel="0" collapsed="false">
      <c r="A12" s="1" t="s">
        <v>9</v>
      </c>
      <c r="B12" s="6" t="n">
        <v>60</v>
      </c>
    </row>
    <row r="13" customFormat="false" ht="15" hidden="false" customHeight="true" outlineLevel="0" collapsed="false">
      <c r="A13" s="1" t="s">
        <v>10</v>
      </c>
      <c r="B13" s="6" t="n">
        <v>25</v>
      </c>
    </row>
    <row r="14" customFormat="false" ht="15" hidden="false" customHeight="true" outlineLevel="0" collapsed="false">
      <c r="A14" s="1" t="s">
        <v>11</v>
      </c>
      <c r="B14" s="6" t="n">
        <v>15</v>
      </c>
    </row>
    <row r="15" customFormat="false" ht="15" hidden="false" customHeight="true" outlineLevel="0" collapsed="false">
      <c r="A15" s="1" t="s">
        <v>12</v>
      </c>
      <c r="B15" s="6" t="n">
        <v>75</v>
      </c>
    </row>
    <row r="16" customFormat="false" ht="15" hidden="false" customHeight="true" outlineLevel="0" collapsed="false">
      <c r="A16" s="1" t="s">
        <v>13</v>
      </c>
      <c r="B16" s="6" t="n">
        <v>4</v>
      </c>
    </row>
    <row r="17" customFormat="false" ht="15" hidden="false" customHeight="true" outlineLevel="0" collapsed="false">
      <c r="A17" s="1" t="s">
        <v>14</v>
      </c>
      <c r="B17" s="6" t="n">
        <v>3</v>
      </c>
    </row>
    <row r="19" customFormat="false" ht="15" hidden="false" customHeight="true" outlineLevel="0" collapsed="false">
      <c r="A19" s="3" t="s">
        <v>15</v>
      </c>
      <c r="B19" s="3"/>
      <c r="C19" s="3"/>
      <c r="D19" s="3"/>
    </row>
    <row r="20" customFormat="false" ht="15" hidden="false" customHeight="true" outlineLevel="0" collapsed="false">
      <c r="A20" s="7" t="s">
        <v>16</v>
      </c>
      <c r="B20" s="7" t="s">
        <v>17</v>
      </c>
      <c r="C20" s="7" t="s">
        <v>18</v>
      </c>
      <c r="D20" s="7" t="s">
        <v>19</v>
      </c>
    </row>
    <row r="21" customFormat="false" ht="15" hidden="false" customHeight="true" outlineLevel="0" collapsed="false">
      <c r="A21" s="1" t="s">
        <v>20</v>
      </c>
      <c r="B21" s="8" t="n">
        <v>10</v>
      </c>
      <c r="C21" s="9" t="n">
        <v>0.015</v>
      </c>
      <c r="D21" s="10" t="n">
        <v>1000</v>
      </c>
    </row>
    <row r="22" customFormat="false" ht="15" hidden="false" customHeight="true" outlineLevel="0" collapsed="false">
      <c r="A22" s="1" t="s">
        <v>21</v>
      </c>
      <c r="B22" s="8" t="n">
        <v>20</v>
      </c>
      <c r="C22" s="9" t="n">
        <v>0.0175</v>
      </c>
      <c r="D22" s="10" t="n">
        <v>2500</v>
      </c>
    </row>
    <row r="23" customFormat="false" ht="15" hidden="false" customHeight="true" outlineLevel="0" collapsed="false">
      <c r="A23" s="1" t="s">
        <v>22</v>
      </c>
      <c r="B23" s="8" t="n">
        <v>30</v>
      </c>
      <c r="C23" s="9" t="n">
        <v>0.02</v>
      </c>
      <c r="D23" s="10" t="n">
        <v>5000</v>
      </c>
    </row>
    <row r="25" customFormat="false" ht="15" hidden="false" customHeight="true" outlineLevel="0" collapsed="false">
      <c r="A25" s="3" t="s">
        <v>23</v>
      </c>
      <c r="B25" s="3"/>
      <c r="C25" s="3"/>
      <c r="D25" s="3"/>
    </row>
    <row r="26" customFormat="false" ht="15" hidden="false" customHeight="true" outlineLevel="0" collapsed="false">
      <c r="A26" s="1" t="s">
        <v>24</v>
      </c>
      <c r="B26" s="6" t="n">
        <v>100</v>
      </c>
    </row>
    <row r="27" customFormat="false" ht="15" hidden="false" customHeight="true" outlineLevel="0" collapsed="false">
      <c r="A27" s="1" t="s">
        <v>25</v>
      </c>
      <c r="B27" s="6" t="n">
        <v>2</v>
      </c>
    </row>
    <row r="28" customFormat="false" ht="15" hidden="false" customHeight="true" outlineLevel="0" collapsed="false">
      <c r="A28" s="1" t="s">
        <v>26</v>
      </c>
      <c r="B28" s="6" t="n">
        <v>1</v>
      </c>
    </row>
    <row r="29" customFormat="false" ht="15" hidden="false" customHeight="true" outlineLevel="0" collapsed="false">
      <c r="A29" s="1" t="s">
        <v>27</v>
      </c>
      <c r="B29" s="6" t="n">
        <v>50</v>
      </c>
    </row>
    <row r="30" customFormat="false" ht="15" hidden="false" customHeight="true" outlineLevel="0" collapsed="false">
      <c r="A30" s="1" t="s">
        <v>28</v>
      </c>
      <c r="B30" s="6" t="n">
        <v>50</v>
      </c>
    </row>
  </sheetData>
  <mergeCells count="5">
    <mergeCell ref="A1:D1"/>
    <mergeCell ref="A3:D3"/>
    <mergeCell ref="A10:D10"/>
    <mergeCell ref="A19:D19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4" min="1" style="1" width="14"/>
  </cols>
  <sheetData>
    <row r="1" customFormat="false" ht="17.25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38</v>
      </c>
      <c r="J3" s="7" t="s">
        <v>39</v>
      </c>
      <c r="K3" s="7" t="s">
        <v>40</v>
      </c>
      <c r="L3" s="7" t="s">
        <v>41</v>
      </c>
      <c r="M3" s="7" t="s">
        <v>42</v>
      </c>
      <c r="N3" s="7" t="s">
        <v>43</v>
      </c>
    </row>
    <row r="4" customFormat="false" ht="15" hidden="false" customHeight="true" outlineLevel="0" collapsed="false">
      <c r="A4" s="1" t="s">
        <v>44</v>
      </c>
      <c r="B4" s="11" t="n">
        <f aca="false">Assumptions!$B$3</f>
        <v>0</v>
      </c>
      <c r="C4" s="12" t="n">
        <f aca="false">B4*Assumptions!$B$7</f>
        <v>0</v>
      </c>
      <c r="D4" s="13" t="n">
        <f aca="false">B4*Assumptions!$B$6</f>
        <v>0</v>
      </c>
      <c r="E4" s="13" t="n">
        <f aca="false">D4</f>
        <v>0</v>
      </c>
      <c r="F4" s="13" t="n">
        <f aca="false">E4*Assumptions!$B$18</f>
        <v>0</v>
      </c>
      <c r="G4" s="12" t="n">
        <f aca="false">F4*20</f>
        <v>0</v>
      </c>
      <c r="H4" s="12" t="n">
        <f aca="false">C4*Assumptions!$B$28</f>
        <v>0</v>
      </c>
      <c r="I4" s="12" t="n">
        <f aca="false">C4*Assumptions!$B$29</f>
        <v>0</v>
      </c>
      <c r="J4" s="13" t="n">
        <f aca="false">E4*Assumptions!$B$21</f>
        <v>0</v>
      </c>
      <c r="K4" s="13" t="n">
        <f aca="false">J4*Assumptions!$B$22</f>
        <v>0</v>
      </c>
      <c r="L4" s="12" t="n">
        <f aca="false">H4*Assumptions!$B$30*(J4/MAX(E4,1))</f>
        <v>0</v>
      </c>
      <c r="M4" s="14" t="n">
        <f aca="false">I4+L4</f>
        <v>0</v>
      </c>
      <c r="N4" s="12" t="n">
        <f aca="false">G4-M4</f>
        <v>0</v>
      </c>
    </row>
    <row r="5" customFormat="false" ht="15" hidden="false" customHeight="true" outlineLevel="0" collapsed="false">
      <c r="A5" s="1" t="s">
        <v>45</v>
      </c>
      <c r="B5" s="11" t="n">
        <f aca="false">Assumptions!$B$3</f>
        <v>0</v>
      </c>
      <c r="C5" s="12" t="n">
        <f aca="false">B5*Assumptions!$B$7</f>
        <v>0</v>
      </c>
      <c r="D5" s="13" t="n">
        <f aca="false">B5*Assumptions!$B$6</f>
        <v>0</v>
      </c>
      <c r="E5" s="13" t="n">
        <f aca="false">D5</f>
        <v>0</v>
      </c>
      <c r="F5" s="13" t="n">
        <f aca="false">E5*Assumptions!$B$18</f>
        <v>0</v>
      </c>
      <c r="G5" s="12" t="n">
        <f aca="false">F5*20</f>
        <v>0</v>
      </c>
      <c r="H5" s="12" t="n">
        <f aca="false">C5*Assumptions!$B$28</f>
        <v>0</v>
      </c>
      <c r="I5" s="12" t="n">
        <f aca="false">C5*Assumptions!$B$29</f>
        <v>0</v>
      </c>
      <c r="J5" s="13" t="n">
        <f aca="false">E5*Assumptions!$B$21</f>
        <v>0</v>
      </c>
      <c r="K5" s="13" t="n">
        <f aca="false">J5*Assumptions!$B$22</f>
        <v>0</v>
      </c>
      <c r="L5" s="12" t="n">
        <f aca="false">H5*Assumptions!$B$30*(J5/MAX(E5,1))</f>
        <v>0</v>
      </c>
      <c r="M5" s="14" t="n">
        <f aca="false">I5+L5</f>
        <v>0</v>
      </c>
      <c r="N5" s="12" t="n">
        <f aca="false">G5-M5</f>
        <v>0</v>
      </c>
    </row>
    <row r="6" customFormat="false" ht="15" hidden="false" customHeight="true" outlineLevel="0" collapsed="false">
      <c r="A6" s="1" t="s">
        <v>46</v>
      </c>
      <c r="B6" s="11" t="n">
        <f aca="false">Assumptions!$B$3</f>
        <v>0</v>
      </c>
      <c r="C6" s="12" t="n">
        <f aca="false">B6*Assumptions!$B$7</f>
        <v>0</v>
      </c>
      <c r="D6" s="13" t="n">
        <f aca="false">B6*Assumptions!$B$6</f>
        <v>0</v>
      </c>
      <c r="E6" s="13" t="n">
        <f aca="false">D6</f>
        <v>0</v>
      </c>
      <c r="F6" s="13" t="n">
        <f aca="false">E6*Assumptions!$B$18</f>
        <v>0</v>
      </c>
      <c r="G6" s="12" t="n">
        <f aca="false">F6*20</f>
        <v>0</v>
      </c>
      <c r="H6" s="12" t="n">
        <f aca="false">C6*Assumptions!$B$28</f>
        <v>0</v>
      </c>
      <c r="I6" s="12" t="n">
        <f aca="false">C6*Assumptions!$B$29</f>
        <v>0</v>
      </c>
      <c r="J6" s="13" t="n">
        <f aca="false">E6*Assumptions!$B$21</f>
        <v>0</v>
      </c>
      <c r="K6" s="13" t="n">
        <f aca="false">J6*Assumptions!$B$22</f>
        <v>0</v>
      </c>
      <c r="L6" s="12" t="n">
        <f aca="false">H6*Assumptions!$B$30*(J6/MAX(E6,1))</f>
        <v>0</v>
      </c>
      <c r="M6" s="14" t="n">
        <f aca="false">I6+L6</f>
        <v>0</v>
      </c>
      <c r="N6" s="12" t="n">
        <f aca="false">G6-M6</f>
        <v>0</v>
      </c>
    </row>
    <row r="7" customFormat="false" ht="15" hidden="false" customHeight="true" outlineLevel="0" collapsed="false">
      <c r="A7" s="1" t="s">
        <v>47</v>
      </c>
      <c r="B7" s="11" t="n">
        <f aca="false">Assumptions!$B$3</f>
        <v>0</v>
      </c>
      <c r="C7" s="12" t="n">
        <f aca="false">B7*Assumptions!$B$7</f>
        <v>0</v>
      </c>
      <c r="D7" s="13" t="n">
        <f aca="false">B7*Assumptions!$B$6</f>
        <v>0</v>
      </c>
      <c r="E7" s="13" t="n">
        <f aca="false">D7</f>
        <v>0</v>
      </c>
      <c r="F7" s="13" t="n">
        <f aca="false">E7*Assumptions!$B$18</f>
        <v>0</v>
      </c>
      <c r="G7" s="12" t="n">
        <f aca="false">F7*20</f>
        <v>0</v>
      </c>
      <c r="H7" s="12" t="n">
        <f aca="false">C7*Assumptions!$B$28</f>
        <v>0</v>
      </c>
      <c r="I7" s="12" t="n">
        <f aca="false">C7*Assumptions!$B$29</f>
        <v>0</v>
      </c>
      <c r="J7" s="13" t="n">
        <f aca="false">E7*Assumptions!$B$21</f>
        <v>0</v>
      </c>
      <c r="K7" s="13" t="n">
        <f aca="false">J7*Assumptions!$B$22</f>
        <v>0</v>
      </c>
      <c r="L7" s="12" t="n">
        <f aca="false">H7*Assumptions!$B$30*(J7/MAX(E7,1))</f>
        <v>0</v>
      </c>
      <c r="M7" s="14" t="n">
        <f aca="false">I7+L7</f>
        <v>0</v>
      </c>
      <c r="N7" s="12" t="n">
        <f aca="false">G7-M7</f>
        <v>0</v>
      </c>
    </row>
    <row r="8" customFormat="false" ht="15" hidden="false" customHeight="true" outlineLevel="0" collapsed="false">
      <c r="A8" s="1" t="s">
        <v>48</v>
      </c>
      <c r="B8" s="11" t="n">
        <f aca="false">Assumptions!$B$3</f>
        <v>0</v>
      </c>
      <c r="C8" s="12" t="n">
        <f aca="false">B8*Assumptions!$B$7</f>
        <v>0</v>
      </c>
      <c r="D8" s="13" t="n">
        <f aca="false">B8*Assumptions!$B$6</f>
        <v>0</v>
      </c>
      <c r="E8" s="13" t="n">
        <f aca="false">D8</f>
        <v>0</v>
      </c>
      <c r="F8" s="13" t="n">
        <f aca="false">E8*Assumptions!$B$18</f>
        <v>0</v>
      </c>
      <c r="G8" s="12" t="n">
        <f aca="false">F8*20</f>
        <v>0</v>
      </c>
      <c r="H8" s="12" t="n">
        <f aca="false">C8*Assumptions!$B$28</f>
        <v>0</v>
      </c>
      <c r="I8" s="12" t="n">
        <f aca="false">C8*Assumptions!$B$29</f>
        <v>0</v>
      </c>
      <c r="J8" s="13" t="n">
        <f aca="false">E8*Assumptions!$B$21</f>
        <v>0</v>
      </c>
      <c r="K8" s="13" t="n">
        <f aca="false">J8*Assumptions!$B$22</f>
        <v>0</v>
      </c>
      <c r="L8" s="12" t="n">
        <f aca="false">H8*Assumptions!$B$30*(J8/MAX(E8,1))</f>
        <v>0</v>
      </c>
      <c r="M8" s="14" t="n">
        <f aca="false">I8+L8</f>
        <v>0</v>
      </c>
      <c r="N8" s="12" t="n">
        <f aca="false">G8-M8</f>
        <v>0</v>
      </c>
    </row>
    <row r="9" customFormat="false" ht="15" hidden="false" customHeight="true" outlineLevel="0" collapsed="false">
      <c r="A9" s="1" t="s">
        <v>49</v>
      </c>
      <c r="B9" s="11" t="n">
        <f aca="false">Assumptions!$B$3</f>
        <v>0</v>
      </c>
      <c r="C9" s="12" t="n">
        <f aca="false">B9*Assumptions!$B$7</f>
        <v>0</v>
      </c>
      <c r="D9" s="13" t="n">
        <f aca="false">B9*Assumptions!$B$6</f>
        <v>0</v>
      </c>
      <c r="E9" s="13" t="n">
        <f aca="false">D9</f>
        <v>0</v>
      </c>
      <c r="F9" s="13" t="n">
        <f aca="false">E9*Assumptions!$B$18</f>
        <v>0</v>
      </c>
      <c r="G9" s="12" t="n">
        <f aca="false">F9*20</f>
        <v>0</v>
      </c>
      <c r="H9" s="12" t="n">
        <f aca="false">C9*Assumptions!$B$28</f>
        <v>0</v>
      </c>
      <c r="I9" s="12" t="n">
        <f aca="false">C9*Assumptions!$B$29</f>
        <v>0</v>
      </c>
      <c r="J9" s="13" t="n">
        <f aca="false">E9*Assumptions!$B$21</f>
        <v>0</v>
      </c>
      <c r="K9" s="13" t="n">
        <f aca="false">J9*Assumptions!$B$22</f>
        <v>0</v>
      </c>
      <c r="L9" s="12" t="n">
        <f aca="false">H9*Assumptions!$B$30*(J9/MAX(E9,1))</f>
        <v>0</v>
      </c>
      <c r="M9" s="14" t="n">
        <f aca="false">I9+L9</f>
        <v>0</v>
      </c>
      <c r="N9" s="12" t="n">
        <f aca="false">G9-M9</f>
        <v>0</v>
      </c>
    </row>
    <row r="10" customFormat="false" ht="15" hidden="false" customHeight="true" outlineLevel="0" collapsed="false">
      <c r="A10" s="1" t="s">
        <v>50</v>
      </c>
      <c r="B10" s="11" t="n">
        <f aca="false">Assumptions!$B$3</f>
        <v>0</v>
      </c>
      <c r="C10" s="12" t="n">
        <f aca="false">B10*Assumptions!$B$7</f>
        <v>0</v>
      </c>
      <c r="D10" s="13" t="n">
        <f aca="false">B10*Assumptions!$B$6</f>
        <v>0</v>
      </c>
      <c r="E10" s="13" t="n">
        <f aca="false">D10</f>
        <v>0</v>
      </c>
      <c r="F10" s="13" t="n">
        <f aca="false">E10*Assumptions!$B$18</f>
        <v>0</v>
      </c>
      <c r="G10" s="12" t="n">
        <f aca="false">F10*20</f>
        <v>0</v>
      </c>
      <c r="H10" s="12" t="n">
        <f aca="false">C10*Assumptions!$B$28</f>
        <v>0</v>
      </c>
      <c r="I10" s="12" t="n">
        <f aca="false">C10*Assumptions!$B$29</f>
        <v>0</v>
      </c>
      <c r="J10" s="13" t="n">
        <f aca="false">E10*Assumptions!$B$21</f>
        <v>0</v>
      </c>
      <c r="K10" s="13" t="n">
        <f aca="false">J10*Assumptions!$B$22</f>
        <v>0</v>
      </c>
      <c r="L10" s="12" t="n">
        <f aca="false">H10*Assumptions!$B$30*(J10/MAX(E10,1))</f>
        <v>0</v>
      </c>
      <c r="M10" s="14" t="n">
        <f aca="false">I10+L10</f>
        <v>0</v>
      </c>
      <c r="N10" s="12" t="n">
        <f aca="false">G10-M10</f>
        <v>0</v>
      </c>
    </row>
    <row r="11" customFormat="false" ht="15" hidden="false" customHeight="true" outlineLevel="0" collapsed="false">
      <c r="A11" s="1" t="s">
        <v>51</v>
      </c>
      <c r="B11" s="11" t="n">
        <f aca="false">Assumptions!$B$3</f>
        <v>0</v>
      </c>
      <c r="C11" s="12" t="n">
        <f aca="false">B11*Assumptions!$B$7</f>
        <v>0</v>
      </c>
      <c r="D11" s="13" t="n">
        <f aca="false">B11*Assumptions!$B$6</f>
        <v>0</v>
      </c>
      <c r="E11" s="13" t="n">
        <f aca="false">D11</f>
        <v>0</v>
      </c>
      <c r="F11" s="13" t="n">
        <f aca="false">E11*Assumptions!$B$18</f>
        <v>0</v>
      </c>
      <c r="G11" s="12" t="n">
        <f aca="false">F11*20</f>
        <v>0</v>
      </c>
      <c r="H11" s="12" t="n">
        <f aca="false">C11*Assumptions!$B$28</f>
        <v>0</v>
      </c>
      <c r="I11" s="12" t="n">
        <f aca="false">C11*Assumptions!$B$29</f>
        <v>0</v>
      </c>
      <c r="J11" s="13" t="n">
        <f aca="false">E11*Assumptions!$B$21</f>
        <v>0</v>
      </c>
      <c r="K11" s="13" t="n">
        <f aca="false">J11*Assumptions!$B$22</f>
        <v>0</v>
      </c>
      <c r="L11" s="12" t="n">
        <f aca="false">H11*Assumptions!$B$30*(J11/MAX(E11,1))</f>
        <v>0</v>
      </c>
      <c r="M11" s="14" t="n">
        <f aca="false">I11+L11</f>
        <v>0</v>
      </c>
      <c r="N11" s="12" t="n">
        <f aca="false">G11-M11</f>
        <v>0</v>
      </c>
    </row>
    <row r="12" customFormat="false" ht="15" hidden="false" customHeight="true" outlineLevel="0" collapsed="false">
      <c r="A12" s="1" t="s">
        <v>52</v>
      </c>
      <c r="B12" s="11" t="n">
        <f aca="false">Assumptions!$B$3</f>
        <v>0</v>
      </c>
      <c r="C12" s="12" t="n">
        <f aca="false">B12*Assumptions!$B$7</f>
        <v>0</v>
      </c>
      <c r="D12" s="13" t="n">
        <f aca="false">B12*Assumptions!$B$6</f>
        <v>0</v>
      </c>
      <c r="E12" s="13" t="n">
        <f aca="false">D12</f>
        <v>0</v>
      </c>
      <c r="F12" s="13" t="n">
        <f aca="false">E12*Assumptions!$B$18</f>
        <v>0</v>
      </c>
      <c r="G12" s="12" t="n">
        <f aca="false">F12*20</f>
        <v>0</v>
      </c>
      <c r="H12" s="12" t="n">
        <f aca="false">C12*Assumptions!$B$28</f>
        <v>0</v>
      </c>
      <c r="I12" s="12" t="n">
        <f aca="false">C12*Assumptions!$B$29</f>
        <v>0</v>
      </c>
      <c r="J12" s="13" t="n">
        <f aca="false">E12*Assumptions!$B$21</f>
        <v>0</v>
      </c>
      <c r="K12" s="13" t="n">
        <f aca="false">J12*Assumptions!$B$22</f>
        <v>0</v>
      </c>
      <c r="L12" s="12" t="n">
        <f aca="false">H12*Assumptions!$B$30*(J12/MAX(E12,1))</f>
        <v>0</v>
      </c>
      <c r="M12" s="14" t="n">
        <f aca="false">I12+L12</f>
        <v>0</v>
      </c>
      <c r="N12" s="12" t="n">
        <f aca="false">G12-M12</f>
        <v>0</v>
      </c>
    </row>
    <row r="13" customFormat="false" ht="15" hidden="false" customHeight="true" outlineLevel="0" collapsed="false">
      <c r="A13" s="1" t="s">
        <v>53</v>
      </c>
      <c r="B13" s="11" t="n">
        <f aca="false">Assumptions!$B$3</f>
        <v>0</v>
      </c>
      <c r="C13" s="12" t="n">
        <f aca="false">B13*Assumptions!$B$7</f>
        <v>0</v>
      </c>
      <c r="D13" s="13" t="n">
        <f aca="false">B13*Assumptions!$B$6</f>
        <v>0</v>
      </c>
      <c r="E13" s="13" t="n">
        <f aca="false">D13</f>
        <v>0</v>
      </c>
      <c r="F13" s="13" t="n">
        <f aca="false">E13*Assumptions!$B$18</f>
        <v>0</v>
      </c>
      <c r="G13" s="12" t="n">
        <f aca="false">F13*20</f>
        <v>0</v>
      </c>
      <c r="H13" s="12" t="n">
        <f aca="false">C13*Assumptions!$B$28</f>
        <v>0</v>
      </c>
      <c r="I13" s="12" t="n">
        <f aca="false">C13*Assumptions!$B$29</f>
        <v>0</v>
      </c>
      <c r="J13" s="13" t="n">
        <f aca="false">E13*Assumptions!$B$21</f>
        <v>0</v>
      </c>
      <c r="K13" s="13" t="n">
        <f aca="false">J13*Assumptions!$B$22</f>
        <v>0</v>
      </c>
      <c r="L13" s="12" t="n">
        <f aca="false">H13*Assumptions!$B$30*(J13/MAX(E13,1))</f>
        <v>0</v>
      </c>
      <c r="M13" s="14" t="n">
        <f aca="false">I13+L13</f>
        <v>0</v>
      </c>
      <c r="N13" s="12" t="n">
        <f aca="false">G13-M13</f>
        <v>0</v>
      </c>
    </row>
    <row r="14" customFormat="false" ht="15" hidden="false" customHeight="true" outlineLevel="0" collapsed="false">
      <c r="A14" s="1" t="s">
        <v>54</v>
      </c>
      <c r="B14" s="11" t="n">
        <f aca="false">Assumptions!$B$3</f>
        <v>0</v>
      </c>
      <c r="C14" s="12" t="n">
        <f aca="false">B14*Assumptions!$B$7</f>
        <v>0</v>
      </c>
      <c r="D14" s="13" t="n">
        <f aca="false">B14*Assumptions!$B$6</f>
        <v>0</v>
      </c>
      <c r="E14" s="13" t="n">
        <f aca="false">D14</f>
        <v>0</v>
      </c>
      <c r="F14" s="13" t="n">
        <f aca="false">E14*Assumptions!$B$18</f>
        <v>0</v>
      </c>
      <c r="G14" s="12" t="n">
        <f aca="false">F14*20</f>
        <v>0</v>
      </c>
      <c r="H14" s="12" t="n">
        <f aca="false">C14*Assumptions!$B$28</f>
        <v>0</v>
      </c>
      <c r="I14" s="12" t="n">
        <f aca="false">C14*Assumptions!$B$29</f>
        <v>0</v>
      </c>
      <c r="J14" s="13" t="n">
        <f aca="false">E14*Assumptions!$B$21</f>
        <v>0</v>
      </c>
      <c r="K14" s="13" t="n">
        <f aca="false">J14*Assumptions!$B$22</f>
        <v>0</v>
      </c>
      <c r="L14" s="12" t="n">
        <f aca="false">H14*Assumptions!$B$30*(J14/MAX(E14,1))</f>
        <v>0</v>
      </c>
      <c r="M14" s="14" t="n">
        <f aca="false">I14+L14</f>
        <v>0</v>
      </c>
      <c r="N14" s="12" t="n">
        <f aca="false">G14-M14</f>
        <v>0</v>
      </c>
    </row>
    <row r="15" customFormat="false" ht="15" hidden="false" customHeight="true" outlineLevel="0" collapsed="false">
      <c r="A15" s="1" t="s">
        <v>55</v>
      </c>
      <c r="B15" s="11" t="n">
        <f aca="false">Assumptions!$B$3</f>
        <v>0</v>
      </c>
      <c r="C15" s="12" t="n">
        <f aca="false">B15*Assumptions!$B$7</f>
        <v>0</v>
      </c>
      <c r="D15" s="13" t="n">
        <f aca="false">B15*Assumptions!$B$6</f>
        <v>0</v>
      </c>
      <c r="E15" s="13" t="n">
        <f aca="false">D15</f>
        <v>0</v>
      </c>
      <c r="F15" s="13" t="n">
        <f aca="false">E15*Assumptions!$B$18</f>
        <v>0</v>
      </c>
      <c r="G15" s="12" t="n">
        <f aca="false">F15*20</f>
        <v>0</v>
      </c>
      <c r="H15" s="12" t="n">
        <f aca="false">C15*Assumptions!$B$28</f>
        <v>0</v>
      </c>
      <c r="I15" s="12" t="n">
        <f aca="false">C15*Assumptions!$B$29</f>
        <v>0</v>
      </c>
      <c r="J15" s="13" t="n">
        <f aca="false">E15*Assumptions!$B$21</f>
        <v>0</v>
      </c>
      <c r="K15" s="13" t="n">
        <f aca="false">J15*Assumptions!$B$22</f>
        <v>0</v>
      </c>
      <c r="L15" s="12" t="n">
        <f aca="false">H15*Assumptions!$B$30*(J15/MAX(E15,1))</f>
        <v>0</v>
      </c>
      <c r="M15" s="14" t="n">
        <f aca="false">I15+L15</f>
        <v>0</v>
      </c>
      <c r="N15" s="12" t="n">
        <f aca="false">G15-M15</f>
        <v>0</v>
      </c>
    </row>
    <row r="16" customFormat="false" ht="15" hidden="false" customHeight="false" outlineLevel="0" collapsed="false">
      <c r="B16" s="15" t="n">
        <f aca="false">SUM(B4:B15)</f>
        <v>0</v>
      </c>
      <c r="C16" s="16" t="n">
        <f aca="false">SUM(C4:C15)</f>
        <v>0</v>
      </c>
      <c r="D16" s="15" t="n">
        <f aca="false">SUM(D4:D15)</f>
        <v>0</v>
      </c>
      <c r="E16" s="15" t="n">
        <f aca="false">SUM(E4:E15)</f>
        <v>0</v>
      </c>
      <c r="F16" s="15" t="n">
        <f aca="false">SUM(F4:F15)</f>
        <v>0</v>
      </c>
      <c r="G16" s="16" t="n">
        <f aca="false">SUM(G4:G15)</f>
        <v>0</v>
      </c>
      <c r="H16" s="16" t="n">
        <f aca="false">SUM(H4:H15)</f>
        <v>0</v>
      </c>
      <c r="I16" s="16" t="n">
        <f aca="false">SUM(I4:I15)</f>
        <v>0</v>
      </c>
      <c r="J16" s="15" t="n">
        <f aca="false">SUM(J4:J15)</f>
        <v>0</v>
      </c>
      <c r="K16" s="15" t="n">
        <f aca="false">SUM(K4:K15)</f>
        <v>0</v>
      </c>
      <c r="L16" s="16" t="n">
        <f aca="false">SUM(L4:L15)</f>
        <v>0</v>
      </c>
      <c r="M16" s="16" t="n">
        <f aca="false">SUM(M4:M15)</f>
        <v>0</v>
      </c>
      <c r="N16" s="16" t="n">
        <f aca="false">SUM(N4:N15)</f>
        <v>0</v>
      </c>
    </row>
    <row r="17" customFormat="false" ht="15" hidden="false" customHeight="true" outlineLevel="0" collapsed="false">
      <c r="A17" s="17" t="s">
        <v>56</v>
      </c>
      <c r="B17" s="18" t="n">
        <f aca="false">SUM(B5:B16)</f>
        <v>0</v>
      </c>
      <c r="C17" s="19" t="n">
        <f aca="false">SUM(C5:C16)</f>
        <v>0</v>
      </c>
      <c r="D17" s="18" t="n">
        <f aca="false">SUM(D5:D16)</f>
        <v>0</v>
      </c>
      <c r="E17" s="18" t="n">
        <f aca="false">SUM(E5:E16)</f>
        <v>0</v>
      </c>
      <c r="F17" s="18" t="n">
        <f aca="false">SUM(F5:F16)</f>
        <v>0</v>
      </c>
      <c r="G17" s="19" t="n">
        <f aca="false">SUM(G5:G16)</f>
        <v>0</v>
      </c>
      <c r="H17" s="19" t="n">
        <f aca="false">SUM(H5:H16)</f>
        <v>0</v>
      </c>
      <c r="I17" s="19" t="n">
        <f aca="false">SUM(I5:I16)</f>
        <v>0</v>
      </c>
      <c r="J17" s="18" t="n">
        <f aca="false">SUM(J5:J16)</f>
        <v>0</v>
      </c>
      <c r="K17" s="18" t="n">
        <f aca="false">SUM(K5:K16)</f>
        <v>0</v>
      </c>
      <c r="L17" s="19" t="n">
        <f aca="false">SUM(L5:L16)</f>
        <v>0</v>
      </c>
      <c r="M17" s="19" t="n">
        <f aca="false">SUM(M5:M16)</f>
        <v>0</v>
      </c>
      <c r="N17" s="19" t="n">
        <f aca="false">SUM(N5:N16)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1" width="18"/>
  </cols>
  <sheetData>
    <row r="1" customFormat="false" ht="17.25" hidden="false" customHeight="true" outlineLevel="0" collapsed="false">
      <c r="A1" s="2" t="s">
        <v>57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7" t="s">
        <v>16</v>
      </c>
      <c r="B3" s="7" t="s">
        <v>58</v>
      </c>
      <c r="C3" s="7" t="s">
        <v>59</v>
      </c>
      <c r="D3" s="7" t="s">
        <v>60</v>
      </c>
      <c r="E3" s="7" t="s">
        <v>61</v>
      </c>
      <c r="F3" s="7" t="s">
        <v>62</v>
      </c>
    </row>
    <row r="4" customFormat="false" ht="15" hidden="false" customHeight="true" outlineLevel="0" collapsed="false">
      <c r="A4" s="1" t="s">
        <v>63</v>
      </c>
      <c r="B4" s="8" t="n">
        <v>2</v>
      </c>
      <c r="C4" s="20" t="n">
        <v>1000</v>
      </c>
      <c r="D4" s="8" t="n">
        <v>10</v>
      </c>
      <c r="E4" s="21" t="n">
        <f aca="false">(10+1000*0.015)*1.35</f>
        <v>33.75</v>
      </c>
      <c r="F4" s="12" t="n">
        <f aca="false">(10+1000*0.015)*2*12*1.35</f>
        <v>810</v>
      </c>
    </row>
    <row r="5" customFormat="false" ht="15" hidden="false" customHeight="true" outlineLevel="0" collapsed="false">
      <c r="A5" s="1" t="s">
        <v>64</v>
      </c>
      <c r="B5" s="8" t="n">
        <v>4</v>
      </c>
      <c r="C5" s="20" t="n">
        <v>1000</v>
      </c>
      <c r="D5" s="8" t="n">
        <v>10</v>
      </c>
      <c r="E5" s="21" t="n">
        <f aca="false">(10+1000*0.015)*1.35</f>
        <v>33.75</v>
      </c>
      <c r="F5" s="12" t="n">
        <f aca="false">(10+1000*0.015)*4*12*1.35</f>
        <v>1620</v>
      </c>
    </row>
    <row r="6" customFormat="false" ht="15" hidden="false" customHeight="true" outlineLevel="0" collapsed="false">
      <c r="A6" s="1" t="s">
        <v>65</v>
      </c>
      <c r="B6" s="8" t="n">
        <v>6</v>
      </c>
      <c r="C6" s="20" t="n">
        <v>1000</v>
      </c>
      <c r="D6" s="8" t="n">
        <v>10</v>
      </c>
      <c r="E6" s="21" t="n">
        <f aca="false">(10+1000*0.015)*1.35</f>
        <v>33.75</v>
      </c>
      <c r="F6" s="12" t="n">
        <f aca="false">(10+1000*0.015)*6*12*1.35</f>
        <v>2430</v>
      </c>
    </row>
    <row r="7" customFormat="false" ht="15" hidden="false" customHeight="true" outlineLevel="0" collapsed="false">
      <c r="A7" s="1" t="s">
        <v>66</v>
      </c>
      <c r="B7" s="8" t="n">
        <v>2</v>
      </c>
      <c r="C7" s="20" t="n">
        <v>2500</v>
      </c>
      <c r="D7" s="8" t="n">
        <v>20</v>
      </c>
      <c r="E7" s="21" t="n">
        <f aca="false">(20+2500*0.0175)*1.35</f>
        <v>86.0625</v>
      </c>
      <c r="F7" s="12" t="n">
        <f aca="false">(20+2500*0.0175)*2*12*1.35</f>
        <v>2065.5</v>
      </c>
    </row>
    <row r="8" customFormat="false" ht="15" hidden="false" customHeight="true" outlineLevel="0" collapsed="false">
      <c r="A8" s="1" t="s">
        <v>67</v>
      </c>
      <c r="B8" s="8" t="n">
        <v>4</v>
      </c>
      <c r="C8" s="20" t="n">
        <v>2500</v>
      </c>
      <c r="D8" s="8" t="n">
        <v>20</v>
      </c>
      <c r="E8" s="21" t="n">
        <f aca="false">(20+2500*0.0175)*1.35</f>
        <v>86.0625</v>
      </c>
      <c r="F8" s="12" t="n">
        <f aca="false">(20+2500*0.0175)*4*12*1.35</f>
        <v>4131</v>
      </c>
    </row>
    <row r="9" customFormat="false" ht="15" hidden="false" customHeight="true" outlineLevel="0" collapsed="false">
      <c r="A9" s="1" t="s">
        <v>68</v>
      </c>
      <c r="B9" s="8" t="n">
        <v>3</v>
      </c>
      <c r="C9" s="20" t="n">
        <v>5000</v>
      </c>
      <c r="D9" s="8" t="n">
        <v>30</v>
      </c>
      <c r="E9" s="21" t="n">
        <f aca="false">(30+5000*0.02)*1.35</f>
        <v>175.5</v>
      </c>
      <c r="F9" s="12" t="n">
        <f aca="false">(30+5000*0.02)*3*12*1.35</f>
        <v>6318</v>
      </c>
    </row>
    <row r="12" customFormat="false" ht="15" hidden="false" customHeight="true" outlineLevel="0" collapsed="false">
      <c r="A12" s="3" t="s">
        <v>69</v>
      </c>
      <c r="B12" s="3"/>
      <c r="C12" s="3"/>
      <c r="D12" s="3"/>
      <c r="E12" s="3"/>
      <c r="F12" s="3"/>
    </row>
    <row r="13" customFormat="false" ht="15" hidden="false" customHeight="true" outlineLevel="0" collapsed="false">
      <c r="A13" s="1" t="s">
        <v>70</v>
      </c>
      <c r="B13" s="8" t="n">
        <v>50</v>
      </c>
    </row>
    <row r="14" customFormat="false" ht="15" hidden="false" customHeight="true" outlineLevel="0" collapsed="false">
      <c r="A14" s="1" t="s">
        <v>71</v>
      </c>
      <c r="B14" s="22" t="n">
        <v>0.02</v>
      </c>
    </row>
    <row r="15" customFormat="false" ht="15" hidden="false" customHeight="true" outlineLevel="0" collapsed="false">
      <c r="A15" s="1" t="s">
        <v>72</v>
      </c>
      <c r="B15" s="13" t="n">
        <f aca="false">50*48</f>
        <v>2400</v>
      </c>
    </row>
    <row r="16" customFormat="false" ht="15" hidden="false" customHeight="true" outlineLevel="0" collapsed="false">
      <c r="A16" s="1" t="s">
        <v>73</v>
      </c>
      <c r="B16" s="23" t="n">
        <f aca="false">B15*B13</f>
        <v>120000</v>
      </c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18"/>
  </cols>
  <sheetData>
    <row r="1" customFormat="false" ht="17.2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7" t="s">
        <v>75</v>
      </c>
      <c r="B3" s="7" t="s">
        <v>76</v>
      </c>
      <c r="C3" s="7" t="s">
        <v>77</v>
      </c>
      <c r="D3" s="7" t="s">
        <v>78</v>
      </c>
      <c r="E3" s="7" t="s">
        <v>79</v>
      </c>
      <c r="F3" s="7" t="s">
        <v>80</v>
      </c>
      <c r="G3" s="7" t="s">
        <v>81</v>
      </c>
    </row>
    <row r="4" customFormat="false" ht="15" hidden="false" customHeight="true" outlineLevel="0" collapsed="false">
      <c r="A4" s="1" t="s">
        <v>82</v>
      </c>
      <c r="B4" s="13" t="n">
        <f aca="false">Assumptions!B3</f>
        <v>0</v>
      </c>
      <c r="C4" s="13" t="n">
        <f aca="false">B5*Assumptions!B6</f>
        <v>5000000</v>
      </c>
      <c r="D4" s="13" t="n">
        <f aca="false">C5*Assumptions!B18</f>
        <v>0</v>
      </c>
      <c r="E4" s="11" t="n">
        <v>100</v>
      </c>
      <c r="F4" s="24" t="n">
        <f aca="false">D5/(E5/4)</f>
        <v>0</v>
      </c>
      <c r="G4" s="25" t="n">
        <f aca="false">D5/E5</f>
        <v>0</v>
      </c>
    </row>
    <row r="5" customFormat="false" ht="15" hidden="false" customHeight="true" outlineLevel="0" collapsed="false">
      <c r="A5" s="1" t="s">
        <v>83</v>
      </c>
      <c r="B5" s="13" t="n">
        <f aca="false">Assumptions!B4</f>
        <v>1000</v>
      </c>
      <c r="C5" s="13" t="n">
        <f aca="false">B6*Assumptions!B6</f>
        <v>12500000</v>
      </c>
      <c r="D5" s="13" t="n">
        <f aca="false">C6*Assumptions!B18</f>
        <v>0</v>
      </c>
      <c r="E5" s="11" t="n">
        <v>200</v>
      </c>
      <c r="F5" s="24" t="n">
        <f aca="false">IF(E5&gt;0, D5/(E5/4), 0)</f>
        <v>0</v>
      </c>
      <c r="G5" s="25" t="n">
        <f aca="false">IF(E5&gt;0, D5/E5, 0)</f>
        <v>0</v>
      </c>
    </row>
    <row r="6" customFormat="false" ht="15" hidden="false" customHeight="true" outlineLevel="0" collapsed="false">
      <c r="A6" s="1" t="s">
        <v>84</v>
      </c>
      <c r="B6" s="13" t="n">
        <f aca="false">Assumptions!B5</f>
        <v>2500</v>
      </c>
      <c r="C6" s="13" t="n">
        <f aca="false">B7*Assumptions!B6</f>
        <v>0</v>
      </c>
      <c r="D6" s="13" t="n">
        <f aca="false">C7*Assumptions!B18</f>
        <v>0</v>
      </c>
      <c r="E6" s="11" t="n">
        <v>350</v>
      </c>
      <c r="F6" s="24" t="n">
        <f aca="false">IF(E6&gt;0, D6/(E6/4), 0)</f>
        <v>0</v>
      </c>
      <c r="G6" s="25" t="n">
        <f aca="false">IF(E6&gt;0, D6/E6, 0)</f>
        <v>0</v>
      </c>
    </row>
    <row r="7" customFormat="false" ht="15" hidden="false" customHeight="false" outlineLevel="0" collapsed="false">
      <c r="F7" s="26" t="n">
        <f aca="false">IF(E7&gt;0, D7/(E7/4), 0)</f>
        <v>0</v>
      </c>
      <c r="G7" s="27" t="n">
        <f aca="false">IF(E7&gt;0, D7/E7, 0)</f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1" width="28"/>
  </cols>
  <sheetData>
    <row r="1" customFormat="false" ht="17.25" hidden="false" customHeight="true" outlineLevel="0" collapsed="false">
      <c r="A1" s="2" t="s">
        <v>85</v>
      </c>
      <c r="B1" s="2"/>
      <c r="C1" s="2"/>
      <c r="D1" s="2"/>
      <c r="E1" s="2"/>
    </row>
    <row r="3" customFormat="false" ht="15" hidden="false" customHeight="true" outlineLevel="0" collapsed="false">
      <c r="A3" s="7" t="s">
        <v>86</v>
      </c>
      <c r="B3" s="7" t="s">
        <v>87</v>
      </c>
      <c r="C3" s="7" t="s">
        <v>88</v>
      </c>
      <c r="D3" s="7" t="s">
        <v>89</v>
      </c>
      <c r="E3" s="7" t="s">
        <v>90</v>
      </c>
    </row>
    <row r="4" customFormat="false" ht="23.25" hidden="false" customHeight="true" outlineLevel="0" collapsed="false">
      <c r="A4" s="28" t="s">
        <v>91</v>
      </c>
      <c r="B4" s="29" t="s">
        <v>92</v>
      </c>
      <c r="C4" s="29" t="s">
        <v>93</v>
      </c>
      <c r="D4" s="29" t="s">
        <v>94</v>
      </c>
      <c r="E4" s="29" t="s">
        <v>95</v>
      </c>
    </row>
    <row r="5" customFormat="false" ht="23.25" hidden="false" customHeight="true" outlineLevel="0" collapsed="false">
      <c r="A5" s="28" t="s">
        <v>96</v>
      </c>
      <c r="B5" s="29" t="s">
        <v>97</v>
      </c>
      <c r="C5" s="29" t="s">
        <v>98</v>
      </c>
      <c r="D5" s="29" t="s">
        <v>99</v>
      </c>
      <c r="E5" s="29" t="s">
        <v>100</v>
      </c>
    </row>
    <row r="6" customFormat="false" ht="15" hidden="false" customHeight="true" outlineLevel="0" collapsed="false">
      <c r="A6" s="28" t="s">
        <v>101</v>
      </c>
      <c r="B6" s="29" t="s">
        <v>102</v>
      </c>
      <c r="C6" s="29" t="s">
        <v>103</v>
      </c>
      <c r="D6" s="29" t="s">
        <v>104</v>
      </c>
      <c r="E6" s="29" t="s">
        <v>105</v>
      </c>
    </row>
    <row r="7" customFormat="false" ht="23.25" hidden="false" customHeight="true" outlineLevel="0" collapsed="false">
      <c r="A7" s="28" t="s">
        <v>106</v>
      </c>
      <c r="B7" s="29" t="s">
        <v>107</v>
      </c>
      <c r="C7" s="29" t="s">
        <v>108</v>
      </c>
      <c r="D7" s="29" t="s">
        <v>109</v>
      </c>
      <c r="E7" s="29" t="s">
        <v>105</v>
      </c>
    </row>
    <row r="8" customFormat="false" ht="23.25" hidden="false" customHeight="true" outlineLevel="0" collapsed="false">
      <c r="A8" s="28" t="s">
        <v>110</v>
      </c>
      <c r="B8" s="29" t="s">
        <v>111</v>
      </c>
      <c r="C8" s="29" t="s">
        <v>112</v>
      </c>
      <c r="D8" s="29" t="s">
        <v>113</v>
      </c>
      <c r="E8" s="29" t="s">
        <v>114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1" width="22"/>
  </cols>
  <sheetData>
    <row r="1" customFormat="false" ht="17.25" hidden="false" customHeight="true" outlineLevel="0" collapsed="false">
      <c r="A1" s="2" t="s">
        <v>115</v>
      </c>
      <c r="B1" s="2"/>
      <c r="C1" s="2"/>
      <c r="D1" s="2"/>
      <c r="E1" s="2"/>
    </row>
    <row r="3" customFormat="false" ht="15" hidden="false" customHeight="true" outlineLevel="0" collapsed="false">
      <c r="A3" s="7" t="s">
        <v>116</v>
      </c>
      <c r="B3" s="7" t="s">
        <v>117</v>
      </c>
      <c r="C3" s="7" t="s">
        <v>118</v>
      </c>
      <c r="D3" s="7" t="s">
        <v>119</v>
      </c>
      <c r="E3" s="7" t="s">
        <v>120</v>
      </c>
    </row>
    <row r="4" customFormat="false" ht="15" hidden="false" customHeight="true" outlineLevel="0" collapsed="false">
      <c r="A4" s="30" t="s">
        <v>121</v>
      </c>
      <c r="B4" s="1" t="s">
        <v>122</v>
      </c>
      <c r="C4" s="1" t="s">
        <v>123</v>
      </c>
      <c r="D4" s="1" t="s">
        <v>124</v>
      </c>
      <c r="E4" s="1" t="s">
        <v>125</v>
      </c>
    </row>
    <row r="5" customFormat="false" ht="23.25" hidden="false" customHeight="true" outlineLevel="0" collapsed="false">
      <c r="A5" s="30" t="s">
        <v>126</v>
      </c>
      <c r="B5" s="1" t="s">
        <v>127</v>
      </c>
      <c r="C5" s="1" t="s">
        <v>128</v>
      </c>
      <c r="D5" s="1" t="s">
        <v>129</v>
      </c>
      <c r="E5" s="1" t="s">
        <v>130</v>
      </c>
    </row>
    <row r="6" customFormat="false" ht="15" hidden="false" customHeight="true" outlineLevel="0" collapsed="false">
      <c r="A6" s="30" t="s">
        <v>13</v>
      </c>
      <c r="B6" s="1" t="s">
        <v>127</v>
      </c>
      <c r="C6" s="1" t="s">
        <v>131</v>
      </c>
      <c r="D6" s="1" t="s">
        <v>132</v>
      </c>
      <c r="E6" s="1" t="s">
        <v>130</v>
      </c>
    </row>
    <row r="7" customFormat="false" ht="15" hidden="false" customHeight="true" outlineLevel="0" collapsed="false">
      <c r="A7" s="30" t="s">
        <v>14</v>
      </c>
      <c r="B7" s="1" t="s">
        <v>127</v>
      </c>
      <c r="C7" s="1" t="s">
        <v>133</v>
      </c>
      <c r="D7" s="1" t="s">
        <v>134</v>
      </c>
      <c r="E7" s="1" t="s">
        <v>130</v>
      </c>
    </row>
    <row r="8" customFormat="false" ht="15" hidden="false" customHeight="true" outlineLevel="0" collapsed="false">
      <c r="A8" s="30" t="s">
        <v>135</v>
      </c>
      <c r="B8" s="1" t="s">
        <v>127</v>
      </c>
      <c r="C8" s="1" t="s">
        <v>129</v>
      </c>
      <c r="D8" s="1" t="s">
        <v>136</v>
      </c>
      <c r="E8" s="1" t="s">
        <v>137</v>
      </c>
    </row>
    <row r="9" customFormat="false" ht="23.25" hidden="false" customHeight="true" outlineLevel="0" collapsed="false">
      <c r="A9" s="30" t="s">
        <v>138</v>
      </c>
      <c r="B9" s="1" t="s">
        <v>127</v>
      </c>
      <c r="C9" s="1" t="s">
        <v>139</v>
      </c>
      <c r="D9" s="1" t="s">
        <v>140</v>
      </c>
      <c r="E9" s="1" t="s">
        <v>130</v>
      </c>
    </row>
    <row r="10" customFormat="false" ht="15" hidden="false" customHeight="true" outlineLevel="0" collapsed="false">
      <c r="A10" s="30" t="s">
        <v>141</v>
      </c>
      <c r="B10" s="1" t="s">
        <v>127</v>
      </c>
      <c r="C10" s="1" t="s">
        <v>136</v>
      </c>
      <c r="D10" s="1" t="s">
        <v>142</v>
      </c>
      <c r="E10" s="1" t="s">
        <v>143</v>
      </c>
    </row>
    <row r="11" customFormat="false" ht="15" hidden="false" customHeight="true" outlineLevel="0" collapsed="false">
      <c r="A11" s="30" t="s">
        <v>144</v>
      </c>
      <c r="B11" s="1" t="s">
        <v>127</v>
      </c>
      <c r="C11" s="1" t="s">
        <v>136</v>
      </c>
      <c r="D11" s="1" t="s">
        <v>142</v>
      </c>
      <c r="E11" s="1" t="s">
        <v>143</v>
      </c>
    </row>
    <row r="12" customFormat="false" ht="15" hidden="false" customHeight="true" outlineLevel="0" collapsed="false">
      <c r="A12" s="30" t="s">
        <v>145</v>
      </c>
      <c r="B12" s="1" t="s">
        <v>127</v>
      </c>
      <c r="C12" s="1" t="s">
        <v>146</v>
      </c>
      <c r="D12" s="1" t="s">
        <v>147</v>
      </c>
      <c r="E12" s="1" t="s">
        <v>143</v>
      </c>
    </row>
    <row r="13" customFormat="false" ht="23.25" hidden="false" customHeight="true" outlineLevel="0" collapsed="false">
      <c r="A13" s="30" t="s">
        <v>148</v>
      </c>
      <c r="B13" s="1" t="s">
        <v>127</v>
      </c>
      <c r="C13" s="1" t="s">
        <v>149</v>
      </c>
      <c r="D13" s="1" t="s">
        <v>150</v>
      </c>
      <c r="E13" s="1" t="s">
        <v>130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2026-03-29T22:39:27Z</dcterms:created>
  <dc:creator>openpyxl</dc:creator>
  <dc:description/>
  <dc:language>en-US</dc:language>
  <cp:lastModifiedBy/>
  <dcterms:modified xsi:type="dcterms:W3CDTF">2026-03-29T22:39:57Z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