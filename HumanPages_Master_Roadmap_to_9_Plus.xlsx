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Priority" sheetId="1" state="visible" r:id="rId3"/>
    <sheet name="Phase Timeline" sheetId="2" state="visible" r:id="rId4"/>
    <sheet name="Score Projections" sheetId="3" state="visible" r:id="rId5"/>
    <sheet name="Investment" sheetId="4" state="visible" r:id="rId6"/>
    <sheet name="5 Non-Negotiabl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<sst xmlns="http://schemas.openxmlformats.org/spreadsheetml/2006/main" count="420" uniqueCount="195">
  <si>
    <t xml:space="preserve">HumanPages: Unified Product Roadmap to 9+/10 Across All Sectors</t>
  </si>
  <si>
    <t xml:space="preserve">Features ranked by cross-sector impact. Checkmarks show which sectors each feature unblocks.</t>
  </si>
  <si>
    <t xml:space="preserve">#</t>
  </si>
  <si>
    <t xml:space="preserve">Feature</t>
  </si>
  <si>
    <t xml:space="preserve">Phase</t>
  </si>
  <si>
    <t xml:space="preserve">Effort</t>
  </si>
  <si>
    <t xml:space="preserve">Real Est.</t>
  </si>
  <si>
    <t xml:space="preserve">Insurance</t>
  </si>
  <si>
    <t xml:space="preserve">E-Comm</t>
  </si>
  <si>
    <t xml:space="preserve">Research</t>
  </si>
  <si>
    <t xml:space="preserve">Legal</t>
  </si>
  <si>
    <t xml:space="preserve">Logistics</t>
  </si>
  <si>
    <t xml:space="preserve">Marketing</t>
  </si>
  <si>
    <t xml:space="preserve">AI Agents</t>
  </si>
  <si>
    <t xml:space="preserve">Impact</t>
  </si>
  <si>
    <t xml:space="preserve">Est. ARR</t>
  </si>
  <si>
    <t xml:space="preserve">Dependencies</t>
  </si>
  <si>
    <t xml:space="preserve">Escrow + Dispute Resolution</t>
  </si>
  <si>
    <t xml:space="preserve">P1</t>
  </si>
  <si>
    <t xml:space="preserve">6-8 wks</t>
  </si>
  <si>
    <t xml:space="preserve">Y</t>
  </si>
  <si>
    <t xml:space="preserve">CRITICAL</t>
  </si>
  <si>
    <t xml:space="preserve">$3-8M</t>
  </si>
  <si>
    <t xml:space="preserve">Smart contract audit</t>
  </si>
  <si>
    <t xml:space="preserve">Fiat Payment Rails (Wise/ACH/SEPA)</t>
  </si>
  <si>
    <t xml:space="preserve">8-10 wks</t>
  </si>
  <si>
    <t xml:space="preserve">$3-5M</t>
  </si>
  <si>
    <t xml:space="preserve">Banking partner</t>
  </si>
  <si>
    <t xml:space="preserve">KYC/AML + Background Checks</t>
  </si>
  <si>
    <t xml:space="preserve">$2-4M</t>
  </si>
  <si>
    <t xml:space="preserve">Identity provider (Checkr/Onfido)</t>
  </si>
  <si>
    <t xml:space="preserve">SLA Tiers + Auto-Refund Guarantees</t>
  </si>
  <si>
    <t xml:space="preserve">4-6 wks</t>
  </si>
  <si>
    <t xml:space="preserve">~</t>
  </si>
  <si>
    <t xml:space="preserve">HIGH</t>
  </si>
  <si>
    <t xml:space="preserve">$1-3M</t>
  </si>
  <si>
    <t xml:space="preserve">Escrow (for refunds)</t>
  </si>
  <si>
    <t xml:space="preserve">Geofencing + Proof-of-Location</t>
  </si>
  <si>
    <t xml:space="preserve">3-4 wks</t>
  </si>
  <si>
    <t xml:space="preserve">$1-2M</t>
  </si>
  <si>
    <t xml:space="preserve">Mobile app or EXIF parsing</t>
  </si>
  <si>
    <t xml:space="preserve">Portfolio Gallery + Work Samples</t>
  </si>
  <si>
    <t xml:space="preserve">P2</t>
  </si>
  <si>
    <t xml:space="preserve">2-3 wks</t>
  </si>
  <si>
    <t xml:space="preserve">File storage (S3)</t>
  </si>
  <si>
    <t xml:space="preserve">Immutable Audit Trail (7-10yr)</t>
  </si>
  <si>
    <t xml:space="preserve">$500K-2M</t>
  </si>
  <si>
    <t xml:space="preserve">Hash-chain logging</t>
  </si>
  <si>
    <t xml:space="preserve">IP/Work-for-Hire Templates</t>
  </si>
  <si>
    <t xml:space="preserve">2 wks</t>
  </si>
  <si>
    <t xml:space="preserve">MEDIUM</t>
  </si>
  <si>
    <t xml:space="preserve">$500K-1M</t>
  </si>
  <si>
    <t xml:space="preserve">Legal counsel</t>
  </si>
  <si>
    <t xml:space="preserve">Bulk/Batch Job API</t>
  </si>
  <si>
    <t xml:space="preserve">1-2 wks</t>
  </si>
  <si>
    <t xml:space="preserve">Listings API (exists)</t>
  </si>
  <si>
    <t xml:space="preserve">Webhooks + Async Callbacks</t>
  </si>
  <si>
    <t xml:space="preserve">1.5 wks</t>
  </si>
  <si>
    <t xml:space="preserve">$300K-800K</t>
  </si>
  <si>
    <t xml:space="preserve">None</t>
  </si>
  <si>
    <t xml:space="preserve">Institutional Billing (PO/Net-30)</t>
  </si>
  <si>
    <t xml:space="preserve">3 wks</t>
  </si>
  <si>
    <t xml:space="preserve">Stripe Invoicing</t>
  </si>
  <si>
    <t xml:space="preserve">IRB Compliance Templates</t>
  </si>
  <si>
    <t xml:space="preserve">4 wks</t>
  </si>
  <si>
    <t xml:space="preserve">NICHE</t>
  </si>
  <si>
    <t xml:space="preserve">Legal/ethics review</t>
  </si>
  <si>
    <t xml:space="preserve">Industry Integrations (MLS/TMS/Shopify)</t>
  </si>
  <si>
    <t xml:space="preserve">P3</t>
  </si>
  <si>
    <t xml:space="preserve">12-16 wks</t>
  </si>
  <si>
    <t xml:space="preserve">Partner APIs</t>
  </si>
  <si>
    <t xml:space="preserve">Real-Time GPS Task Tracking</t>
  </si>
  <si>
    <t xml:space="preserve">$300K-1M</t>
  </si>
  <si>
    <t xml:space="preserve">Mobile app</t>
  </si>
  <si>
    <t xml:space="preserve">Human Availability Calendar</t>
  </si>
  <si>
    <t xml:space="preserve">Frontend work</t>
  </si>
  <si>
    <t xml:space="preserve">Compliance/Audit Dashboard</t>
  </si>
  <si>
    <t xml:space="preserve">Audit trail (row 7)</t>
  </si>
  <si>
    <t xml:space="preserve">On-Chain Reputation NFTs (ERC-8004)</t>
  </si>
  <si>
    <t xml:space="preserve">LOW</t>
  </si>
  <si>
    <t xml:space="preserve">$200K-500K</t>
  </si>
  <si>
    <t xml:space="preserve">ERC-8004 (partial)</t>
  </si>
  <si>
    <t xml:space="preserve">Team Collaboration (Multi-Seat)</t>
  </si>
  <si>
    <t xml:space="preserve">Auth system update</t>
  </si>
  <si>
    <t xml:space="preserve">AI Job Description Generator</t>
  </si>
  <si>
    <t xml:space="preserve">1 wk</t>
  </si>
  <si>
    <t xml:space="preserve">$100K-300K</t>
  </si>
  <si>
    <t xml:space="preserve">LLM API</t>
  </si>
  <si>
    <t xml:space="preserve">Analytics Dashboard</t>
  </si>
  <si>
    <t xml:space="preserve">Data warehouse</t>
  </si>
  <si>
    <t xml:space="preserve">Legend:</t>
  </si>
  <si>
    <t xml:space="preserve">Y = Critical for sector | ~ = Nice-to-have | P1 = Phase 1 (Weeks 1-10) | P2 = Phase 2 (Weeks 8-16) | P3 = Phase 3 (Weeks 14-24)</t>
  </si>
  <si>
    <t xml:space="preserve">Implementation Phases — 24-Week Master Plan</t>
  </si>
  <si>
    <t xml:space="preserve">Timeline</t>
  </si>
  <si>
    <t xml:space="preserve">What Ships</t>
  </si>
  <si>
    <t xml:space="preserve">Score After</t>
  </si>
  <si>
    <t xml:space="preserve">Cumulative ARR Unlock</t>
  </si>
  <si>
    <t xml:space="preserve">Phase 0: Foundation</t>
  </si>
  <si>
    <t xml:space="preserve">Week 1-2</t>
  </si>
  <si>
    <t xml:space="preserve">Escrow smart contract audit, KYC provider selection, Wise API keys, legal templates drafted</t>
  </si>
  <si>
    <t xml:space="preserve">5.5/10 (prep only)</t>
  </si>
  <si>
    <t xml:space="preserve">$0</t>
  </si>
  <si>
    <t xml:space="preserve">Phase 1: Trust Layer</t>
  </si>
  <si>
    <t xml:space="preserve">Week 2-10</t>
  </si>
  <si>
    <t xml:space="preserve">Escrow + Dispute Resolution, Fiat Payments (Wise), KYC/AML + Background Checks, SLA Tiers, Geofencing</t>
  </si>
  <si>
    <t xml:space="preserve">8.0/10</t>
  </si>
  <si>
    <t xml:space="preserve">$8-15M potential</t>
  </si>
  <si>
    <t xml:space="preserve">Phase 2: Enterprise Ready</t>
  </si>
  <si>
    <t xml:space="preserve">Week 8-16</t>
  </si>
  <si>
    <t xml:space="preserve">Portfolio Gallery, Audit Trail, IP Templates, Bulk API, Webhooks, Institutional Billing, IRB Templates</t>
  </si>
  <si>
    <t xml:space="preserve">9.0/10</t>
  </si>
  <si>
    <t xml:space="preserve">$12-22M potential</t>
  </si>
  <si>
    <t xml:space="preserve">Phase 3: Market Leader</t>
  </si>
  <si>
    <t xml:space="preserve">Week 14-24</t>
  </si>
  <si>
    <t xml:space="preserve">Industry Integrations (MLS/TMS/Shopify), GPS Tracking, Availability Calendar, Compliance Dashboard, Reputation NFTs, Team Collab, AI Job Gen, Analytics</t>
  </si>
  <si>
    <t xml:space="preserve">9.5+/10</t>
  </si>
  <si>
    <t xml:space="preserve">$15-30M potential</t>
  </si>
  <si>
    <t xml:space="preserve">Projected Scores After Each Phase</t>
  </si>
  <si>
    <t xml:space="preserve">Sector</t>
  </si>
  <si>
    <t xml:space="preserve">Current</t>
  </si>
  <si>
    <t xml:space="preserve">After P1</t>
  </si>
  <si>
    <t xml:space="preserve">After P2</t>
  </si>
  <si>
    <t xml:space="preserve">After P3</t>
  </si>
  <si>
    <t xml:space="preserve">Real Estate</t>
  </si>
  <si>
    <t xml:space="preserve">E-Commerce</t>
  </si>
  <si>
    <t xml:space="preserve">Research/Academia</t>
  </si>
  <si>
    <t xml:space="preserve">Legal/Compliance</t>
  </si>
  <si>
    <t xml:space="preserve">Marketing/Media</t>
  </si>
  <si>
    <t xml:space="preserve">AI/Agent Platforms</t>
  </si>
  <si>
    <t xml:space="preserve">AVERAGE</t>
  </si>
  <si>
    <t xml:space="preserve">Investment Required &amp; Expected Returns</t>
  </si>
  <si>
    <t xml:space="preserve">Category</t>
  </si>
  <si>
    <t xml:space="preserve">Phase 1</t>
  </si>
  <si>
    <t xml:space="preserve">Phase 2</t>
  </si>
  <si>
    <t xml:space="preserve">Phase 3</t>
  </si>
  <si>
    <t xml:space="preserve">Notes</t>
  </si>
  <si>
    <t xml:space="preserve">Engineering (FTE-months)</t>
  </si>
  <si>
    <t xml:space="preserve">12-16 FTE-mo</t>
  </si>
  <si>
    <t xml:space="preserve">8-10 FTE-mo</t>
  </si>
  <si>
    <t xml:space="preserve">10-14 FTE-mo</t>
  </si>
  <si>
    <t xml:space="preserve">3-4 backend + 1-2 frontend + 1 Solidity + 1 DevOps</t>
  </si>
  <si>
    <t xml:space="preserve">External Services</t>
  </si>
  <si>
    <t xml:space="preserve">$30-50K</t>
  </si>
  <si>
    <t xml:space="preserve">$15-25K</t>
  </si>
  <si>
    <t xml:space="preserve">$20-30K</t>
  </si>
  <si>
    <t xml:space="preserve">KYC provider, smart contract audit, legal review, Wise setup</t>
  </si>
  <si>
    <t xml:space="preserve">8-10 weeks</t>
  </si>
  <si>
    <t xml:space="preserve">6-8 weeks</t>
  </si>
  <si>
    <t xml:space="preserve">Phases overlap by 2-4 weeks; total ~20-24 weeks</t>
  </si>
  <si>
    <t xml:space="preserve">Total Cash Cost</t>
  </si>
  <si>
    <t xml:space="preserve">$150-200K</t>
  </si>
  <si>
    <t xml:space="preserve">$80-120K</t>
  </si>
  <si>
    <t xml:space="preserve">$100-150K</t>
  </si>
  <si>
    <t xml:space="preserve">Assumes $12-15K/FTE-month fully loaded</t>
  </si>
  <si>
    <t xml:space="preserve">RETURNS</t>
  </si>
  <si>
    <t xml:space="preserve">Avg Sector Score</t>
  </si>
  <si>
    <t xml:space="preserve">7.6/10</t>
  </si>
  <si>
    <t xml:space="preserve">8.8/10</t>
  </si>
  <si>
    <t xml:space="preserve">9.4/10</t>
  </si>
  <si>
    <t xml:space="preserve">From 5.5 average today</t>
  </si>
  <si>
    <t xml:space="preserve">Enterprise-Ready Sectors</t>
  </si>
  <si>
    <t xml:space="preserve">3 of 8</t>
  </si>
  <si>
    <t xml:space="preserve">6 of 8</t>
  </si>
  <si>
    <t xml:space="preserve">8 of 8</t>
  </si>
  <si>
    <t xml:space="preserve">Score &gt;= 8.5 = enterprise-ready</t>
  </si>
  <si>
    <t xml:space="preserve">Est. ARR Unlock</t>
  </si>
  <si>
    <t xml:space="preserve">$8-15M</t>
  </si>
  <si>
    <t xml:space="preserve">$12-22M</t>
  </si>
  <si>
    <t xml:space="preserve">$15-30M</t>
  </si>
  <si>
    <t xml:space="preserve">Cumulative addressable across all sectors</t>
  </si>
  <si>
    <t xml:space="preserve">Payback Period</t>
  </si>
  <si>
    <t xml:space="preserve">6-9 months</t>
  </si>
  <si>
    <t xml:space="preserve">3-5 months</t>
  </si>
  <si>
    <t xml:space="preserve">2-4 months</t>
  </si>
  <si>
    <t xml:space="preserve">Based on first 3-5 enterprise deals</t>
  </si>
  <si>
    <t xml:space="preserve">The 5 Features That Every Single Sector Demands</t>
  </si>
  <si>
    <t xml:space="preserve">Build these first. Everything else is optional until these ship.</t>
  </si>
  <si>
    <t xml:space="preserve">Why Every Sector Needs It</t>
  </si>
  <si>
    <t xml:space="preserve">Score Impact</t>
  </si>
  <si>
    <t xml:space="preserve">Without escrow, no sector trusts jobs &gt;$200. Insurance can't verify claims. Legal can't hold evidence funds. E-commerce can't guarantee photography. Every evaluator flagged this as blocker #1.</t>
  </si>
  <si>
    <t xml:space="preserve">+2.0 points avg</t>
  </si>
  <si>
    <t xml:space="preserve">Fiat Payment Rails</t>
  </si>
  <si>
    <t xml:space="preserve">Corporate treasury departments cannot send USDC. Period. This blocks every enterprise deal. Humans in developing countries need local currency withdrawal. Wise/ACH/SEPA integration 5x's the human supply overnight.</t>
  </si>
  <si>
    <t xml:space="preserve">+1.0 points avg</t>
  </si>
  <si>
    <t xml:space="preserve">Insurance requires OFAC screening. Legal requires identity verification. Research requires IRB-grade participant tracking. Logistics requires driver verification. No regulated industry can use unverified humans.</t>
  </si>
  <si>
    <t xml:space="preserve">+1.5 points avg</t>
  </si>
  <si>
    <t xml:space="preserve">SLA Guarantees + Auto-Refund</t>
  </si>
  <si>
    <t xml:space="preserve">Logistics needs 2-4h response commitment. Insurance needs claims turnaround. E-commerce needs photography deadlines. Advisory commitments aren't enough — binding SLAs with financial penalties are required.</t>
  </si>
  <si>
    <t xml:space="preserve">4-6 weeks</t>
  </si>
  <si>
    <t xml:space="preserve">Real estate needs proof the photographer visited the property. Insurance needs proof the inspector was on-site. Logistics needs proof-of-delivery. Without verifiable location, physical task completion is unfalsifiable.</t>
  </si>
  <si>
    <t xml:space="preserve">3-4 weeks</t>
  </si>
  <si>
    <t xml:space="preserve">+0.8 points avg</t>
  </si>
  <si>
    <t xml:space="preserve">TOTAL: Build these 5 features → every sector jumps from 5.5 avg to 8.0+ avg</t>
  </si>
  <si>
    <t xml:space="preserve">~28-36 wks parallel → 10-12 wks</t>
  </si>
  <si>
    <t xml:space="preserve">+6.3 pts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</si>
</sst>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sz val="8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16A34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16A34A"/>
      <name val="Arial"/>
      <family val="0"/>
      <charset val="1"/>
    </font>
    <font>
      <sz val="10"/>
      <color rgb="FFD9770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D4A7A"/>
        <bgColor rgb="FF1B2A4A"/>
      </patternFill>
    </fill>
    <fill>
      <patternFill patternType="solid">
        <fgColor rgb="FFF1F5F9"/>
        <bgColor rgb="FFFFFFFF"/>
      </patternFill>
    </fill>
    <fill>
      <patternFill patternType="solid">
        <fgColor rgb="FFDC2626"/>
        <bgColor rgb="FFEA580C"/>
      </patternFill>
    </fill>
    <fill>
      <patternFill patternType="solid">
        <fgColor rgb="FFFFFFFF"/>
        <bgColor rgb="FFF1F5F9"/>
      </patternFill>
    </fill>
    <fill>
      <patternFill patternType="solid">
        <fgColor rgb="FFEA580C"/>
        <bgColor rgb="FFD97706"/>
      </patternFill>
    </fill>
    <fill>
      <patternFill patternType="solid">
        <fgColor rgb="FFD97706"/>
        <bgColor rgb="FFEA580C"/>
      </patternFill>
    </fill>
    <fill>
      <patternFill patternType="solid">
        <fgColor rgb="FF3B82F6"/>
        <bgColor rgb="FF0066CC"/>
      </patternFill>
    </fill>
    <fill>
      <patternFill patternType="solid">
        <fgColor rgb="FF16A34A"/>
        <bgColor rgb="FF008080"/>
      </patternFill>
    </fill>
    <fill>
      <patternFill patternType="solid">
        <fgColor rgb="FFFDE68A"/>
        <bgColor rgb="FFFFCC99"/>
      </patternFill>
    </fill>
    <fill>
      <patternFill patternType="solid">
        <fgColor rgb="FFE2E8F0"/>
        <bgColor rgb="FFF1F5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9"/>
      <rgbColor rgb="FFE2E8F0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68A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D97706"/>
      <rgbColor rgb="FFEA580C"/>
      <rgbColor rgb="FF64748B"/>
      <rgbColor rgb="FF969696"/>
      <rgbColor rgb="FF003366"/>
      <rgbColor rgb="FF16A34A"/>
      <rgbColor rgb="FF003300"/>
      <rgbColor rgb="FF333300"/>
      <rgbColor rgb="FF993300"/>
      <rgbColor rgb="FF993366"/>
      <rgbColor rgb="FF2D4A7A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12" min="5" style="0" width="14"/>
    <col collapsed="false" customWidth="true" hidden="false" outlineLevel="0" max="13" min="13" style="0" width="10"/>
    <col collapsed="false" customWidth="true" hidden="false" outlineLevel="0" max="14" min="14" style="0" width="16"/>
    <col collapsed="false" customWidth="true" hidden="false" outlineLevel="0" max="15" min="15" style="0" width="20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4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27.75" hidden="false" customHeight="true" outlineLevel="0" collapsed="false">
      <c r="A5" s="4" t="n">
        <v>1</v>
      </c>
      <c r="B5" s="5" t="s">
        <v>17</v>
      </c>
      <c r="C5" s="6" t="s">
        <v>18</v>
      </c>
      <c r="D5" s="7" t="s">
        <v>19</v>
      </c>
      <c r="E5" s="8" t="s">
        <v>20</v>
      </c>
      <c r="F5" s="8" t="s">
        <v>20</v>
      </c>
      <c r="G5" s="8" t="s">
        <v>20</v>
      </c>
      <c r="H5" s="8" t="s">
        <v>20</v>
      </c>
      <c r="I5" s="8" t="s">
        <v>20</v>
      </c>
      <c r="J5" s="8" t="s">
        <v>20</v>
      </c>
      <c r="K5" s="8" t="s">
        <v>20</v>
      </c>
      <c r="L5" s="8" t="s">
        <v>20</v>
      </c>
      <c r="M5" s="9" t="s">
        <v>21</v>
      </c>
      <c r="N5" s="10" t="s">
        <v>22</v>
      </c>
      <c r="O5" s="11" t="s">
        <v>23</v>
      </c>
    </row>
    <row r="6" customFormat="false" ht="27.75" hidden="false" customHeight="true" outlineLevel="0" collapsed="false">
      <c r="A6" s="12" t="n">
        <v>2</v>
      </c>
      <c r="B6" s="13" t="s">
        <v>24</v>
      </c>
      <c r="C6" s="6" t="s">
        <v>18</v>
      </c>
      <c r="D6" s="14" t="s">
        <v>25</v>
      </c>
      <c r="E6" s="15" t="s">
        <v>20</v>
      </c>
      <c r="F6" s="15" t="s">
        <v>20</v>
      </c>
      <c r="G6" s="15" t="s">
        <v>20</v>
      </c>
      <c r="H6" s="15" t="s">
        <v>20</v>
      </c>
      <c r="I6" s="15" t="s">
        <v>20</v>
      </c>
      <c r="J6" s="15" t="s">
        <v>20</v>
      </c>
      <c r="K6" s="15" t="s">
        <v>20</v>
      </c>
      <c r="L6" s="15" t="s">
        <v>20</v>
      </c>
      <c r="M6" s="9" t="s">
        <v>21</v>
      </c>
      <c r="N6" s="16" t="s">
        <v>26</v>
      </c>
      <c r="O6" s="17" t="s">
        <v>27</v>
      </c>
    </row>
    <row r="7" customFormat="false" ht="27.75" hidden="false" customHeight="true" outlineLevel="0" collapsed="false">
      <c r="A7" s="4" t="n">
        <v>3</v>
      </c>
      <c r="B7" s="5" t="s">
        <v>28</v>
      </c>
      <c r="C7" s="6" t="s">
        <v>18</v>
      </c>
      <c r="D7" s="7" t="s">
        <v>19</v>
      </c>
      <c r="E7" s="8" t="s">
        <v>20</v>
      </c>
      <c r="F7" s="8" t="s">
        <v>20</v>
      </c>
      <c r="G7" s="8" t="s">
        <v>20</v>
      </c>
      <c r="H7" s="8" t="s">
        <v>20</v>
      </c>
      <c r="I7" s="8" t="s">
        <v>20</v>
      </c>
      <c r="J7" s="8" t="s">
        <v>20</v>
      </c>
      <c r="K7" s="8" t="s">
        <v>20</v>
      </c>
      <c r="L7" s="8" t="s">
        <v>20</v>
      </c>
      <c r="M7" s="9" t="s">
        <v>21</v>
      </c>
      <c r="N7" s="10" t="s">
        <v>29</v>
      </c>
      <c r="O7" s="11" t="s">
        <v>30</v>
      </c>
    </row>
    <row r="8" customFormat="false" ht="27.75" hidden="false" customHeight="true" outlineLevel="0" collapsed="false">
      <c r="A8" s="12" t="n">
        <v>4</v>
      </c>
      <c r="B8" s="13" t="s">
        <v>31</v>
      </c>
      <c r="C8" s="6" t="s">
        <v>18</v>
      </c>
      <c r="D8" s="14" t="s">
        <v>32</v>
      </c>
      <c r="E8" s="15" t="s">
        <v>20</v>
      </c>
      <c r="F8" s="15" t="s">
        <v>20</v>
      </c>
      <c r="G8" s="15" t="s">
        <v>20</v>
      </c>
      <c r="H8" s="18" t="s">
        <v>33</v>
      </c>
      <c r="I8" s="15" t="s">
        <v>20</v>
      </c>
      <c r="J8" s="15" t="s">
        <v>20</v>
      </c>
      <c r="K8" s="15" t="s">
        <v>20</v>
      </c>
      <c r="L8" s="15" t="s">
        <v>20</v>
      </c>
      <c r="M8" s="19" t="s">
        <v>34</v>
      </c>
      <c r="N8" s="16" t="s">
        <v>35</v>
      </c>
      <c r="O8" s="17" t="s">
        <v>36</v>
      </c>
    </row>
    <row r="9" customFormat="false" ht="27.75" hidden="false" customHeight="true" outlineLevel="0" collapsed="false">
      <c r="A9" s="4" t="n">
        <v>5</v>
      </c>
      <c r="B9" s="5" t="s">
        <v>37</v>
      </c>
      <c r="C9" s="6" t="s">
        <v>18</v>
      </c>
      <c r="D9" s="7" t="s">
        <v>38</v>
      </c>
      <c r="E9" s="8" t="s">
        <v>20</v>
      </c>
      <c r="F9" s="8" t="s">
        <v>20</v>
      </c>
      <c r="G9" s="8" t="s">
        <v>20</v>
      </c>
      <c r="H9" s="8" t="s">
        <v>20</v>
      </c>
      <c r="I9" s="20" t="s">
        <v>33</v>
      </c>
      <c r="J9" s="8" t="s">
        <v>20</v>
      </c>
      <c r="K9" s="20" t="s">
        <v>33</v>
      </c>
      <c r="L9" s="8" t="s">
        <v>20</v>
      </c>
      <c r="M9" s="19" t="s">
        <v>34</v>
      </c>
      <c r="N9" s="10" t="s">
        <v>39</v>
      </c>
      <c r="O9" s="11" t="s">
        <v>40</v>
      </c>
    </row>
    <row r="10" customFormat="false" ht="27.75" hidden="false" customHeight="true" outlineLevel="0" collapsed="false">
      <c r="A10" s="12" t="n">
        <v>6</v>
      </c>
      <c r="B10" s="13" t="s">
        <v>41</v>
      </c>
      <c r="C10" s="21" t="s">
        <v>42</v>
      </c>
      <c r="D10" s="14" t="s">
        <v>43</v>
      </c>
      <c r="E10" s="18" t="s">
        <v>33</v>
      </c>
      <c r="F10" s="18" t="s">
        <v>33</v>
      </c>
      <c r="G10" s="15" t="s">
        <v>20</v>
      </c>
      <c r="H10" s="18" t="s">
        <v>33</v>
      </c>
      <c r="I10" s="18" t="s">
        <v>33</v>
      </c>
      <c r="J10" s="18" t="s">
        <v>33</v>
      </c>
      <c r="K10" s="15" t="s">
        <v>20</v>
      </c>
      <c r="L10" s="15" t="s">
        <v>20</v>
      </c>
      <c r="M10" s="19" t="s">
        <v>34</v>
      </c>
      <c r="N10" s="16" t="s">
        <v>39</v>
      </c>
      <c r="O10" s="17" t="s">
        <v>44</v>
      </c>
    </row>
    <row r="11" customFormat="false" ht="27.75" hidden="false" customHeight="true" outlineLevel="0" collapsed="false">
      <c r="A11" s="4" t="n">
        <v>7</v>
      </c>
      <c r="B11" s="5" t="s">
        <v>45</v>
      </c>
      <c r="C11" s="21" t="s">
        <v>42</v>
      </c>
      <c r="D11" s="7" t="s">
        <v>43</v>
      </c>
      <c r="E11" s="20" t="s">
        <v>33</v>
      </c>
      <c r="F11" s="8" t="s">
        <v>20</v>
      </c>
      <c r="G11" s="20" t="s">
        <v>33</v>
      </c>
      <c r="H11" s="8" t="s">
        <v>20</v>
      </c>
      <c r="I11" s="8" t="s">
        <v>20</v>
      </c>
      <c r="J11" s="20" t="s">
        <v>33</v>
      </c>
      <c r="K11" s="20" t="s">
        <v>33</v>
      </c>
      <c r="L11" s="20" t="s">
        <v>33</v>
      </c>
      <c r="M11" s="19" t="s">
        <v>34</v>
      </c>
      <c r="N11" s="10" t="s">
        <v>46</v>
      </c>
      <c r="O11" s="11" t="s">
        <v>47</v>
      </c>
    </row>
    <row r="12" customFormat="false" ht="27.75" hidden="false" customHeight="true" outlineLevel="0" collapsed="false">
      <c r="A12" s="12" t="n">
        <v>8</v>
      </c>
      <c r="B12" s="13" t="s">
        <v>48</v>
      </c>
      <c r="C12" s="21" t="s">
        <v>42</v>
      </c>
      <c r="D12" s="14" t="s">
        <v>49</v>
      </c>
      <c r="E12" s="18" t="s">
        <v>33</v>
      </c>
      <c r="F12" s="18" t="s">
        <v>33</v>
      </c>
      <c r="G12" s="15" t="s">
        <v>20</v>
      </c>
      <c r="H12" s="18" t="s">
        <v>33</v>
      </c>
      <c r="I12" s="15" t="s">
        <v>20</v>
      </c>
      <c r="J12" s="18" t="s">
        <v>33</v>
      </c>
      <c r="K12" s="15" t="s">
        <v>20</v>
      </c>
      <c r="L12" s="18" t="s">
        <v>33</v>
      </c>
      <c r="M12" s="22" t="s">
        <v>50</v>
      </c>
      <c r="N12" s="16" t="s">
        <v>51</v>
      </c>
      <c r="O12" s="17" t="s">
        <v>52</v>
      </c>
    </row>
    <row r="13" customFormat="false" ht="27.75" hidden="false" customHeight="true" outlineLevel="0" collapsed="false">
      <c r="A13" s="4" t="n">
        <v>9</v>
      </c>
      <c r="B13" s="5" t="s">
        <v>53</v>
      </c>
      <c r="C13" s="21" t="s">
        <v>42</v>
      </c>
      <c r="D13" s="7" t="s">
        <v>54</v>
      </c>
      <c r="E13" s="20" t="s">
        <v>33</v>
      </c>
      <c r="F13" s="20" t="s">
        <v>33</v>
      </c>
      <c r="G13" s="8" t="s">
        <v>20</v>
      </c>
      <c r="H13" s="8" t="s">
        <v>20</v>
      </c>
      <c r="I13" s="20" t="s">
        <v>33</v>
      </c>
      <c r="J13" s="8" t="s">
        <v>20</v>
      </c>
      <c r="K13" s="8" t="s">
        <v>20</v>
      </c>
      <c r="L13" s="8" t="s">
        <v>20</v>
      </c>
      <c r="M13" s="22" t="s">
        <v>50</v>
      </c>
      <c r="N13" s="10" t="s">
        <v>51</v>
      </c>
      <c r="O13" s="11" t="s">
        <v>55</v>
      </c>
    </row>
    <row r="14" customFormat="false" ht="27.75" hidden="false" customHeight="true" outlineLevel="0" collapsed="false">
      <c r="A14" s="12" t="n">
        <v>10</v>
      </c>
      <c r="B14" s="13" t="s">
        <v>56</v>
      </c>
      <c r="C14" s="21" t="s">
        <v>42</v>
      </c>
      <c r="D14" s="14" t="s">
        <v>57</v>
      </c>
      <c r="E14" s="18" t="s">
        <v>33</v>
      </c>
      <c r="F14" s="15" t="s">
        <v>20</v>
      </c>
      <c r="G14" s="15" t="s">
        <v>20</v>
      </c>
      <c r="H14" s="18" t="s">
        <v>33</v>
      </c>
      <c r="I14" s="18" t="s">
        <v>33</v>
      </c>
      <c r="J14" s="15" t="s">
        <v>20</v>
      </c>
      <c r="K14" s="18" t="s">
        <v>33</v>
      </c>
      <c r="L14" s="15" t="s">
        <v>20</v>
      </c>
      <c r="M14" s="22" t="s">
        <v>50</v>
      </c>
      <c r="N14" s="16" t="s">
        <v>58</v>
      </c>
      <c r="O14" s="17" t="s">
        <v>59</v>
      </c>
    </row>
    <row r="15" customFormat="false" ht="27.75" hidden="false" customHeight="true" outlineLevel="0" collapsed="false">
      <c r="A15" s="4" t="n">
        <v>11</v>
      </c>
      <c r="B15" s="5" t="s">
        <v>60</v>
      </c>
      <c r="C15" s="21" t="s">
        <v>42</v>
      </c>
      <c r="D15" s="7" t="s">
        <v>61</v>
      </c>
      <c r="E15" s="20" t="s">
        <v>33</v>
      </c>
      <c r="F15" s="8" t="s">
        <v>20</v>
      </c>
      <c r="G15" s="20" t="s">
        <v>33</v>
      </c>
      <c r="H15" s="8" t="s">
        <v>20</v>
      </c>
      <c r="I15" s="8" t="s">
        <v>20</v>
      </c>
      <c r="J15" s="8" t="s">
        <v>20</v>
      </c>
      <c r="K15" s="8" t="s">
        <v>20</v>
      </c>
      <c r="L15" s="20" t="s">
        <v>33</v>
      </c>
      <c r="M15" s="22" t="s">
        <v>50</v>
      </c>
      <c r="N15" s="10" t="s">
        <v>46</v>
      </c>
      <c r="O15" s="11" t="s">
        <v>62</v>
      </c>
    </row>
    <row r="16" customFormat="false" ht="27.75" hidden="false" customHeight="true" outlineLevel="0" collapsed="false">
      <c r="A16" s="12" t="n">
        <v>12</v>
      </c>
      <c r="B16" s="13" t="s">
        <v>63</v>
      </c>
      <c r="C16" s="21" t="s">
        <v>42</v>
      </c>
      <c r="D16" s="14" t="s">
        <v>64</v>
      </c>
      <c r="E16" s="18" t="s">
        <v>33</v>
      </c>
      <c r="F16" s="18" t="s">
        <v>33</v>
      </c>
      <c r="G16" s="18" t="s">
        <v>33</v>
      </c>
      <c r="H16" s="15" t="s">
        <v>20</v>
      </c>
      <c r="I16" s="18" t="s">
        <v>33</v>
      </c>
      <c r="J16" s="18" t="s">
        <v>33</v>
      </c>
      <c r="K16" s="18" t="s">
        <v>33</v>
      </c>
      <c r="L16" s="18" t="s">
        <v>33</v>
      </c>
      <c r="M16" s="23" t="s">
        <v>65</v>
      </c>
      <c r="N16" s="16" t="s">
        <v>51</v>
      </c>
      <c r="O16" s="17" t="s">
        <v>66</v>
      </c>
    </row>
    <row r="17" customFormat="false" ht="27.75" hidden="false" customHeight="true" outlineLevel="0" collapsed="false">
      <c r="A17" s="4" t="n">
        <v>13</v>
      </c>
      <c r="B17" s="5" t="s">
        <v>67</v>
      </c>
      <c r="C17" s="24" t="s">
        <v>68</v>
      </c>
      <c r="D17" s="7" t="s">
        <v>69</v>
      </c>
      <c r="E17" s="8" t="s">
        <v>20</v>
      </c>
      <c r="F17" s="20" t="s">
        <v>33</v>
      </c>
      <c r="G17" s="8" t="s">
        <v>20</v>
      </c>
      <c r="H17" s="20" t="s">
        <v>33</v>
      </c>
      <c r="I17" s="20" t="s">
        <v>33</v>
      </c>
      <c r="J17" s="8" t="s">
        <v>20</v>
      </c>
      <c r="K17" s="20" t="s">
        <v>33</v>
      </c>
      <c r="L17" s="20" t="s">
        <v>33</v>
      </c>
      <c r="M17" s="22" t="s">
        <v>50</v>
      </c>
      <c r="N17" s="10" t="s">
        <v>35</v>
      </c>
      <c r="O17" s="11" t="s">
        <v>70</v>
      </c>
    </row>
    <row r="18" customFormat="false" ht="27.75" hidden="false" customHeight="true" outlineLevel="0" collapsed="false">
      <c r="A18" s="12" t="n">
        <v>14</v>
      </c>
      <c r="B18" s="13" t="s">
        <v>71</v>
      </c>
      <c r="C18" s="24" t="s">
        <v>68</v>
      </c>
      <c r="D18" s="14" t="s">
        <v>61</v>
      </c>
      <c r="E18" s="18" t="s">
        <v>33</v>
      </c>
      <c r="F18" s="15" t="s">
        <v>20</v>
      </c>
      <c r="G18" s="18" t="s">
        <v>33</v>
      </c>
      <c r="H18" s="18" t="s">
        <v>33</v>
      </c>
      <c r="I18" s="18" t="s">
        <v>33</v>
      </c>
      <c r="J18" s="15" t="s">
        <v>20</v>
      </c>
      <c r="K18" s="18" t="s">
        <v>33</v>
      </c>
      <c r="L18" s="18" t="s">
        <v>33</v>
      </c>
      <c r="M18" s="22" t="s">
        <v>50</v>
      </c>
      <c r="N18" s="16" t="s">
        <v>72</v>
      </c>
      <c r="O18" s="17" t="s">
        <v>73</v>
      </c>
    </row>
    <row r="19" customFormat="false" ht="27.75" hidden="false" customHeight="true" outlineLevel="0" collapsed="false">
      <c r="A19" s="4" t="n">
        <v>15</v>
      </c>
      <c r="B19" s="5" t="s">
        <v>74</v>
      </c>
      <c r="C19" s="24" t="s">
        <v>68</v>
      </c>
      <c r="D19" s="7" t="s">
        <v>57</v>
      </c>
      <c r="E19" s="20" t="s">
        <v>33</v>
      </c>
      <c r="F19" s="20" t="s">
        <v>33</v>
      </c>
      <c r="G19" s="8" t="s">
        <v>20</v>
      </c>
      <c r="H19" s="20" t="s">
        <v>33</v>
      </c>
      <c r="I19" s="20" t="s">
        <v>33</v>
      </c>
      <c r="J19" s="8" t="s">
        <v>20</v>
      </c>
      <c r="K19" s="8" t="s">
        <v>20</v>
      </c>
      <c r="L19" s="8" t="s">
        <v>20</v>
      </c>
      <c r="M19" s="22" t="s">
        <v>50</v>
      </c>
      <c r="N19" s="10" t="s">
        <v>58</v>
      </c>
      <c r="O19" s="11" t="s">
        <v>75</v>
      </c>
    </row>
    <row r="20" customFormat="false" ht="27.75" hidden="false" customHeight="true" outlineLevel="0" collapsed="false">
      <c r="A20" s="12" t="n">
        <v>16</v>
      </c>
      <c r="B20" s="13" t="s">
        <v>76</v>
      </c>
      <c r="C20" s="24" t="s">
        <v>68</v>
      </c>
      <c r="D20" s="14" t="s">
        <v>32</v>
      </c>
      <c r="E20" s="18" t="s">
        <v>33</v>
      </c>
      <c r="F20" s="15" t="s">
        <v>20</v>
      </c>
      <c r="G20" s="18" t="s">
        <v>33</v>
      </c>
      <c r="H20" s="15" t="s">
        <v>20</v>
      </c>
      <c r="I20" s="15" t="s">
        <v>20</v>
      </c>
      <c r="J20" s="18" t="s">
        <v>33</v>
      </c>
      <c r="K20" s="18" t="s">
        <v>33</v>
      </c>
      <c r="L20" s="18" t="s">
        <v>33</v>
      </c>
      <c r="M20" s="22" t="s">
        <v>50</v>
      </c>
      <c r="N20" s="16" t="s">
        <v>46</v>
      </c>
      <c r="O20" s="17" t="s">
        <v>77</v>
      </c>
    </row>
    <row r="21" customFormat="false" ht="27.75" hidden="false" customHeight="true" outlineLevel="0" collapsed="false">
      <c r="A21" s="4" t="n">
        <v>17</v>
      </c>
      <c r="B21" s="5" t="s">
        <v>78</v>
      </c>
      <c r="C21" s="24" t="s">
        <v>68</v>
      </c>
      <c r="D21" s="7" t="s">
        <v>38</v>
      </c>
      <c r="E21" s="20" t="s">
        <v>33</v>
      </c>
      <c r="F21" s="20" t="s">
        <v>33</v>
      </c>
      <c r="G21" s="20" t="s">
        <v>33</v>
      </c>
      <c r="H21" s="20" t="s">
        <v>33</v>
      </c>
      <c r="I21" s="20" t="s">
        <v>33</v>
      </c>
      <c r="J21" s="20" t="s">
        <v>33</v>
      </c>
      <c r="K21" s="20" t="s">
        <v>33</v>
      </c>
      <c r="L21" s="8" t="s">
        <v>20</v>
      </c>
      <c r="M21" s="23" t="s">
        <v>79</v>
      </c>
      <c r="N21" s="10" t="s">
        <v>80</v>
      </c>
      <c r="O21" s="11" t="s">
        <v>81</v>
      </c>
    </row>
    <row r="22" customFormat="false" ht="27.75" hidden="false" customHeight="true" outlineLevel="0" collapsed="false">
      <c r="A22" s="12" t="n">
        <v>18</v>
      </c>
      <c r="B22" s="13" t="s">
        <v>82</v>
      </c>
      <c r="C22" s="24" t="s">
        <v>68</v>
      </c>
      <c r="D22" s="14" t="s">
        <v>61</v>
      </c>
      <c r="E22" s="18" t="s">
        <v>33</v>
      </c>
      <c r="F22" s="18" t="s">
        <v>33</v>
      </c>
      <c r="G22" s="18" t="s">
        <v>33</v>
      </c>
      <c r="H22" s="15" t="s">
        <v>20</v>
      </c>
      <c r="I22" s="18" t="s">
        <v>33</v>
      </c>
      <c r="J22" s="18" t="s">
        <v>33</v>
      </c>
      <c r="K22" s="15" t="s">
        <v>20</v>
      </c>
      <c r="L22" s="18" t="s">
        <v>33</v>
      </c>
      <c r="M22" s="23" t="s">
        <v>79</v>
      </c>
      <c r="N22" s="16" t="s">
        <v>58</v>
      </c>
      <c r="O22" s="17" t="s">
        <v>83</v>
      </c>
    </row>
    <row r="23" customFormat="false" ht="27.75" hidden="false" customHeight="true" outlineLevel="0" collapsed="false">
      <c r="A23" s="4" t="n">
        <v>19</v>
      </c>
      <c r="B23" s="5" t="s">
        <v>84</v>
      </c>
      <c r="C23" s="24" t="s">
        <v>68</v>
      </c>
      <c r="D23" s="7" t="s">
        <v>85</v>
      </c>
      <c r="E23" s="20" t="s">
        <v>33</v>
      </c>
      <c r="F23" s="20" t="s">
        <v>33</v>
      </c>
      <c r="G23" s="8" t="s">
        <v>20</v>
      </c>
      <c r="H23" s="20" t="s">
        <v>33</v>
      </c>
      <c r="I23" s="20" t="s">
        <v>33</v>
      </c>
      <c r="J23" s="20" t="s">
        <v>33</v>
      </c>
      <c r="K23" s="8" t="s">
        <v>20</v>
      </c>
      <c r="L23" s="8" t="s">
        <v>20</v>
      </c>
      <c r="M23" s="23" t="s">
        <v>79</v>
      </c>
      <c r="N23" s="10" t="s">
        <v>86</v>
      </c>
      <c r="O23" s="11" t="s">
        <v>87</v>
      </c>
    </row>
    <row r="24" customFormat="false" ht="27.75" hidden="false" customHeight="true" outlineLevel="0" collapsed="false">
      <c r="A24" s="12" t="n">
        <v>20</v>
      </c>
      <c r="B24" s="13" t="s">
        <v>88</v>
      </c>
      <c r="C24" s="24" t="s">
        <v>68</v>
      </c>
      <c r="D24" s="14" t="s">
        <v>43</v>
      </c>
      <c r="E24" s="18" t="s">
        <v>33</v>
      </c>
      <c r="F24" s="15" t="s">
        <v>20</v>
      </c>
      <c r="G24" s="15" t="s">
        <v>20</v>
      </c>
      <c r="H24" s="18" t="s">
        <v>33</v>
      </c>
      <c r="I24" s="18" t="s">
        <v>33</v>
      </c>
      <c r="J24" s="15" t="s">
        <v>20</v>
      </c>
      <c r="K24" s="15" t="s">
        <v>20</v>
      </c>
      <c r="L24" s="18" t="s">
        <v>33</v>
      </c>
      <c r="M24" s="23" t="s">
        <v>79</v>
      </c>
      <c r="N24" s="16" t="s">
        <v>80</v>
      </c>
      <c r="O24" s="17" t="s">
        <v>89</v>
      </c>
    </row>
    <row r="27" customFormat="false" ht="15" hidden="false" customHeight="false" outlineLevel="0" collapsed="false">
      <c r="A27" s="25" t="s">
        <v>90</v>
      </c>
      <c r="B27" s="26" t="s">
        <v>91</v>
      </c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</sheetData>
  <mergeCells count="3">
    <mergeCell ref="A1:O1"/>
    <mergeCell ref="A2:O2"/>
    <mergeCell ref="B27:O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5" min="5" style="0" width="25"/>
  </cols>
  <sheetData>
    <row r="1" customFormat="false" ht="39.75" hidden="false" customHeight="true" outlineLevel="0" collapsed="false">
      <c r="A1" s="1" t="s">
        <v>92</v>
      </c>
      <c r="B1" s="1"/>
      <c r="C1" s="1"/>
      <c r="D1" s="1"/>
      <c r="E1" s="1"/>
    </row>
    <row r="3" customFormat="false" ht="30" hidden="false" customHeight="true" outlineLevel="0" collapsed="false">
      <c r="A3" s="3" t="s">
        <v>4</v>
      </c>
      <c r="B3" s="3" t="s">
        <v>93</v>
      </c>
      <c r="C3" s="3" t="s">
        <v>94</v>
      </c>
      <c r="D3" s="3" t="s">
        <v>95</v>
      </c>
      <c r="E3" s="3" t="s">
        <v>96</v>
      </c>
    </row>
    <row r="4" customFormat="false" ht="64.5" hidden="false" customHeight="true" outlineLevel="0" collapsed="false">
      <c r="A4" s="5" t="s">
        <v>97</v>
      </c>
      <c r="B4" s="7" t="s">
        <v>98</v>
      </c>
      <c r="C4" s="27" t="s">
        <v>99</v>
      </c>
      <c r="D4" s="28" t="s">
        <v>100</v>
      </c>
      <c r="E4" s="29" t="s">
        <v>101</v>
      </c>
    </row>
    <row r="5" customFormat="false" ht="64.5" hidden="false" customHeight="true" outlineLevel="0" collapsed="false">
      <c r="A5" s="13" t="s">
        <v>102</v>
      </c>
      <c r="B5" s="14" t="s">
        <v>103</v>
      </c>
      <c r="C5" s="30" t="s">
        <v>104</v>
      </c>
      <c r="D5" s="31" t="s">
        <v>105</v>
      </c>
      <c r="E5" s="32" t="s">
        <v>106</v>
      </c>
    </row>
    <row r="6" customFormat="false" ht="64.5" hidden="false" customHeight="true" outlineLevel="0" collapsed="false">
      <c r="A6" s="5" t="s">
        <v>107</v>
      </c>
      <c r="B6" s="7" t="s">
        <v>108</v>
      </c>
      <c r="C6" s="27" t="s">
        <v>109</v>
      </c>
      <c r="D6" s="33" t="s">
        <v>110</v>
      </c>
      <c r="E6" s="29" t="s">
        <v>111</v>
      </c>
    </row>
    <row r="7" customFormat="false" ht="64.5" hidden="false" customHeight="true" outlineLevel="0" collapsed="false">
      <c r="A7" s="13" t="s">
        <v>112</v>
      </c>
      <c r="B7" s="14" t="s">
        <v>113</v>
      </c>
      <c r="C7" s="30" t="s">
        <v>114</v>
      </c>
      <c r="D7" s="33" t="s">
        <v>115</v>
      </c>
      <c r="E7" s="32" t="s">
        <v>116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2"/>
  </cols>
  <sheetData>
    <row r="1" customFormat="false" ht="39.75" hidden="false" customHeight="true" outlineLevel="0" collapsed="false">
      <c r="A1" s="1" t="s">
        <v>117</v>
      </c>
      <c r="B1" s="1"/>
      <c r="C1" s="1"/>
      <c r="D1" s="1"/>
      <c r="E1" s="1"/>
    </row>
    <row r="3" customFormat="false" ht="30" hidden="false" customHeight="true" outlineLevel="0" collapsed="false">
      <c r="A3" s="3" t="s">
        <v>118</v>
      </c>
      <c r="B3" s="3" t="s">
        <v>119</v>
      </c>
      <c r="C3" s="3" t="s">
        <v>120</v>
      </c>
      <c r="D3" s="3" t="s">
        <v>121</v>
      </c>
      <c r="E3" s="3" t="s">
        <v>122</v>
      </c>
    </row>
    <row r="4" customFormat="false" ht="30" hidden="false" customHeight="true" outlineLevel="0" collapsed="false">
      <c r="A4" s="5" t="s">
        <v>123</v>
      </c>
      <c r="B4" s="34" t="n">
        <v>5</v>
      </c>
      <c r="C4" s="35" t="n">
        <v>7.5</v>
      </c>
      <c r="D4" s="36" t="n">
        <v>8.5</v>
      </c>
      <c r="E4" s="37" t="n">
        <v>9.2</v>
      </c>
    </row>
    <row r="5" customFormat="false" ht="30" hidden="false" customHeight="true" outlineLevel="0" collapsed="false">
      <c r="A5" s="13" t="s">
        <v>7</v>
      </c>
      <c r="B5" s="34" t="n">
        <v>5</v>
      </c>
      <c r="C5" s="35" t="n">
        <v>7.5</v>
      </c>
      <c r="D5" s="36" t="n">
        <v>8.5</v>
      </c>
      <c r="E5" s="37" t="n">
        <v>9.2</v>
      </c>
    </row>
    <row r="6" customFormat="false" ht="30" hidden="false" customHeight="true" outlineLevel="0" collapsed="false">
      <c r="A6" s="5" t="s">
        <v>124</v>
      </c>
      <c r="B6" s="34" t="n">
        <v>6</v>
      </c>
      <c r="C6" s="36" t="n">
        <v>8</v>
      </c>
      <c r="D6" s="37" t="n">
        <v>9</v>
      </c>
      <c r="E6" s="37" t="n">
        <v>9.7</v>
      </c>
    </row>
    <row r="7" customFormat="false" ht="30" hidden="false" customHeight="true" outlineLevel="0" collapsed="false">
      <c r="A7" s="13" t="s">
        <v>125</v>
      </c>
      <c r="B7" s="34" t="n">
        <v>6.5</v>
      </c>
      <c r="C7" s="36" t="n">
        <v>8</v>
      </c>
      <c r="D7" s="37" t="n">
        <v>9</v>
      </c>
      <c r="E7" s="37" t="n">
        <v>9.2</v>
      </c>
    </row>
    <row r="8" customFormat="false" ht="30" hidden="false" customHeight="true" outlineLevel="0" collapsed="false">
      <c r="A8" s="5" t="s">
        <v>126</v>
      </c>
      <c r="B8" s="34" t="n">
        <v>5</v>
      </c>
      <c r="C8" s="35" t="n">
        <v>7.5</v>
      </c>
      <c r="D8" s="36" t="n">
        <v>8.5</v>
      </c>
      <c r="E8" s="37" t="n">
        <v>9</v>
      </c>
    </row>
    <row r="9" customFormat="false" ht="30" hidden="false" customHeight="true" outlineLevel="0" collapsed="false">
      <c r="A9" s="13" t="s">
        <v>11</v>
      </c>
      <c r="B9" s="34" t="n">
        <v>5.5</v>
      </c>
      <c r="C9" s="35" t="n">
        <v>7.5</v>
      </c>
      <c r="D9" s="36" t="n">
        <v>8.5</v>
      </c>
      <c r="E9" s="37" t="n">
        <v>9.5</v>
      </c>
    </row>
    <row r="10" customFormat="false" ht="30" hidden="false" customHeight="true" outlineLevel="0" collapsed="false">
      <c r="A10" s="5" t="s">
        <v>127</v>
      </c>
      <c r="B10" s="34" t="n">
        <v>6</v>
      </c>
      <c r="C10" s="35" t="n">
        <v>7.5</v>
      </c>
      <c r="D10" s="37" t="n">
        <v>9</v>
      </c>
      <c r="E10" s="37" t="n">
        <v>9.5</v>
      </c>
    </row>
    <row r="11" customFormat="false" ht="30" hidden="false" customHeight="true" outlineLevel="0" collapsed="false">
      <c r="A11" s="13" t="s">
        <v>128</v>
      </c>
      <c r="B11" s="34" t="n">
        <v>5</v>
      </c>
      <c r="C11" s="36" t="n">
        <v>8</v>
      </c>
      <c r="D11" s="37" t="n">
        <v>9</v>
      </c>
      <c r="E11" s="37" t="n">
        <v>9.5</v>
      </c>
    </row>
    <row r="13" customFormat="false" ht="17.35" hidden="false" customHeight="false" outlineLevel="0" collapsed="false">
      <c r="A13" s="38" t="s">
        <v>129</v>
      </c>
      <c r="B13" s="39" t="n">
        <f aca="false">AVERAGE(B4:B11)</f>
        <v>5.5</v>
      </c>
      <c r="C13" s="39" t="n">
        <f aca="false">AVERAGE(C4:C11)</f>
        <v>7.6875</v>
      </c>
      <c r="D13" s="39" t="n">
        <f aca="false">AVERAGE(D4:D11)</f>
        <v>8.75</v>
      </c>
      <c r="E13" s="39" t="n">
        <f aca="false">AVERAGE(E4:E11)</f>
        <v>9.35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8"/>
    <col collapsed="false" customWidth="true" hidden="false" outlineLevel="0" max="5" min="5" style="0" width="45"/>
  </cols>
  <sheetData>
    <row r="1" customFormat="false" ht="39.75" hidden="false" customHeight="true" outlineLevel="0" collapsed="false">
      <c r="A1" s="1" t="s">
        <v>130</v>
      </c>
      <c r="B1" s="1"/>
      <c r="C1" s="1"/>
      <c r="D1" s="1"/>
      <c r="E1" s="1"/>
    </row>
    <row r="3" customFormat="false" ht="30" hidden="false" customHeight="true" outlineLevel="0" collapsed="false">
      <c r="A3" s="3" t="s">
        <v>131</v>
      </c>
      <c r="B3" s="3" t="s">
        <v>132</v>
      </c>
      <c r="C3" s="3" t="s">
        <v>133</v>
      </c>
      <c r="D3" s="3" t="s">
        <v>134</v>
      </c>
      <c r="E3" s="3" t="s">
        <v>135</v>
      </c>
    </row>
    <row r="4" customFormat="false" ht="30" hidden="false" customHeight="true" outlineLevel="0" collapsed="false">
      <c r="A4" s="5" t="s">
        <v>136</v>
      </c>
      <c r="B4" s="7" t="s">
        <v>137</v>
      </c>
      <c r="C4" s="7" t="s">
        <v>138</v>
      </c>
      <c r="D4" s="7" t="s">
        <v>139</v>
      </c>
      <c r="E4" s="11" t="s">
        <v>140</v>
      </c>
    </row>
    <row r="5" customFormat="false" ht="30" hidden="false" customHeight="true" outlineLevel="0" collapsed="false">
      <c r="A5" s="13" t="s">
        <v>141</v>
      </c>
      <c r="B5" s="14" t="s">
        <v>142</v>
      </c>
      <c r="C5" s="14" t="s">
        <v>143</v>
      </c>
      <c r="D5" s="14" t="s">
        <v>144</v>
      </c>
      <c r="E5" s="17" t="s">
        <v>145</v>
      </c>
    </row>
    <row r="6" customFormat="false" ht="30" hidden="false" customHeight="true" outlineLevel="0" collapsed="false">
      <c r="A6" s="5" t="s">
        <v>93</v>
      </c>
      <c r="B6" s="7" t="s">
        <v>146</v>
      </c>
      <c r="C6" s="7" t="s">
        <v>147</v>
      </c>
      <c r="D6" s="7" t="s">
        <v>146</v>
      </c>
      <c r="E6" s="11" t="s">
        <v>148</v>
      </c>
    </row>
    <row r="7" customFormat="false" ht="30" hidden="false" customHeight="true" outlineLevel="0" collapsed="false">
      <c r="A7" s="13" t="s">
        <v>149</v>
      </c>
      <c r="B7" s="14" t="s">
        <v>150</v>
      </c>
      <c r="C7" s="14" t="s">
        <v>151</v>
      </c>
      <c r="D7" s="14" t="s">
        <v>152</v>
      </c>
      <c r="E7" s="17" t="s">
        <v>153</v>
      </c>
    </row>
    <row r="8" customFormat="false" ht="30" hidden="false" customHeight="true" outlineLevel="0" collapsed="false">
      <c r="A8" s="40"/>
      <c r="B8" s="7"/>
      <c r="C8" s="7"/>
      <c r="D8" s="7"/>
      <c r="E8" s="11"/>
    </row>
    <row r="9" customFormat="false" ht="30" hidden="false" customHeight="true" outlineLevel="0" collapsed="false">
      <c r="A9" s="41" t="s">
        <v>154</v>
      </c>
      <c r="B9" s="42" t="s">
        <v>132</v>
      </c>
      <c r="C9" s="42" t="s">
        <v>133</v>
      </c>
      <c r="D9" s="42" t="s">
        <v>134</v>
      </c>
      <c r="E9" s="43"/>
    </row>
    <row r="10" customFormat="false" ht="30" hidden="false" customHeight="true" outlineLevel="0" collapsed="false">
      <c r="A10" s="5" t="s">
        <v>155</v>
      </c>
      <c r="B10" s="7" t="s">
        <v>156</v>
      </c>
      <c r="C10" s="7" t="s">
        <v>157</v>
      </c>
      <c r="D10" s="7" t="s">
        <v>158</v>
      </c>
      <c r="E10" s="11" t="s">
        <v>159</v>
      </c>
    </row>
    <row r="11" customFormat="false" ht="30" hidden="false" customHeight="true" outlineLevel="0" collapsed="false">
      <c r="A11" s="13" t="s">
        <v>160</v>
      </c>
      <c r="B11" s="14" t="s">
        <v>161</v>
      </c>
      <c r="C11" s="14" t="s">
        <v>162</v>
      </c>
      <c r="D11" s="14" t="s">
        <v>163</v>
      </c>
      <c r="E11" s="17" t="s">
        <v>164</v>
      </c>
    </row>
    <row r="12" customFormat="false" ht="30" hidden="false" customHeight="true" outlineLevel="0" collapsed="false">
      <c r="A12" s="5" t="s">
        <v>165</v>
      </c>
      <c r="B12" s="7" t="s">
        <v>166</v>
      </c>
      <c r="C12" s="7" t="s">
        <v>167</v>
      </c>
      <c r="D12" s="7" t="s">
        <v>168</v>
      </c>
      <c r="E12" s="11" t="s">
        <v>169</v>
      </c>
    </row>
    <row r="13" customFormat="false" ht="30" hidden="false" customHeight="true" outlineLevel="0" collapsed="false">
      <c r="A13" s="13" t="s">
        <v>170</v>
      </c>
      <c r="B13" s="14" t="s">
        <v>171</v>
      </c>
      <c r="C13" s="14" t="s">
        <v>172</v>
      </c>
      <c r="D13" s="14" t="s">
        <v>173</v>
      </c>
      <c r="E13" s="17" t="s">
        <v>174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20"/>
  </cols>
  <sheetData>
    <row r="1" customFormat="false" ht="39.75" hidden="false" customHeight="true" outlineLevel="0" collapsed="false">
      <c r="A1" s="1" t="s">
        <v>175</v>
      </c>
      <c r="B1" s="1"/>
      <c r="C1" s="1"/>
      <c r="D1" s="1"/>
      <c r="E1" s="1"/>
    </row>
    <row r="2" customFormat="false" ht="15" hidden="false" customHeight="false" outlineLevel="0" collapsed="false">
      <c r="A2" s="44" t="s">
        <v>176</v>
      </c>
      <c r="B2" s="44"/>
      <c r="C2" s="44"/>
      <c r="D2" s="44"/>
      <c r="E2" s="44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177</v>
      </c>
      <c r="D4" s="3" t="s">
        <v>5</v>
      </c>
      <c r="E4" s="3" t="s">
        <v>178</v>
      </c>
    </row>
    <row r="5" customFormat="false" ht="69.75" hidden="false" customHeight="true" outlineLevel="0" collapsed="false">
      <c r="A5" s="45" t="n">
        <v>1</v>
      </c>
      <c r="B5" s="46" t="s">
        <v>17</v>
      </c>
      <c r="C5" s="27" t="s">
        <v>179</v>
      </c>
      <c r="D5" s="4" t="s">
        <v>147</v>
      </c>
      <c r="E5" s="29" t="s">
        <v>180</v>
      </c>
    </row>
    <row r="6" customFormat="false" ht="69.75" hidden="false" customHeight="true" outlineLevel="0" collapsed="false">
      <c r="A6" s="45" t="n">
        <v>2</v>
      </c>
      <c r="B6" s="47" t="s">
        <v>181</v>
      </c>
      <c r="C6" s="30" t="s">
        <v>182</v>
      </c>
      <c r="D6" s="12" t="s">
        <v>146</v>
      </c>
      <c r="E6" s="32" t="s">
        <v>183</v>
      </c>
    </row>
    <row r="7" customFormat="false" ht="69.75" hidden="false" customHeight="true" outlineLevel="0" collapsed="false">
      <c r="A7" s="45" t="n">
        <v>3</v>
      </c>
      <c r="B7" s="46" t="s">
        <v>28</v>
      </c>
      <c r="C7" s="27" t="s">
        <v>184</v>
      </c>
      <c r="D7" s="4" t="s">
        <v>147</v>
      </c>
      <c r="E7" s="29" t="s">
        <v>185</v>
      </c>
    </row>
    <row r="8" customFormat="false" ht="69.75" hidden="false" customHeight="true" outlineLevel="0" collapsed="false">
      <c r="A8" s="45" t="n">
        <v>4</v>
      </c>
      <c r="B8" s="47" t="s">
        <v>186</v>
      </c>
      <c r="C8" s="30" t="s">
        <v>187</v>
      </c>
      <c r="D8" s="12" t="s">
        <v>188</v>
      </c>
      <c r="E8" s="32" t="s">
        <v>183</v>
      </c>
    </row>
    <row r="9" customFormat="false" ht="69.75" hidden="false" customHeight="true" outlineLevel="0" collapsed="false">
      <c r="A9" s="45" t="n">
        <v>5</v>
      </c>
      <c r="B9" s="46" t="s">
        <v>37</v>
      </c>
      <c r="C9" s="27" t="s">
        <v>189</v>
      </c>
      <c r="D9" s="4" t="s">
        <v>190</v>
      </c>
      <c r="E9" s="29" t="s">
        <v>191</v>
      </c>
    </row>
    <row r="11" customFormat="false" ht="15" hidden="false" customHeight="false" outlineLevel="0" collapsed="false">
      <c r="A11" s="48" t="s">
        <v>192</v>
      </c>
      <c r="B11" s="48"/>
      <c r="C11" s="48"/>
      <c r="D11" s="49" t="s">
        <v>193</v>
      </c>
      <c r="E11" s="50" t="s">
        <v>194</v>
      </c>
    </row>
  </sheetData>
  <mergeCells count="3">
    <mergeCell ref="A1:E1"/>
    <mergeCell ref="A2:E2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2026-03-29T16:04:57Z</dcterms:created>
  <dc:creator>openpyxl</dc:creator>
  <dc:description/>
  <dc:language>en-US</dc:language>
  <cp:lastModifiedBy/>
  <dcterms:modified xsi:type="dcterms:W3CDTF">2026-03-29T16:04:57Z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